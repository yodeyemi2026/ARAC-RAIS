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DPM\RDPM v1.6a\"/>
    </mc:Choice>
  </mc:AlternateContent>
  <bookViews>
    <workbookView xWindow="0" yWindow="0" windowWidth="19200" windowHeight="12225" activeTab="2"/>
  </bookViews>
  <sheets>
    <sheet name="Quick Start Guide" sheetId="11" r:id="rId1"/>
    <sheet name="Tab Summary" sheetId="10" r:id="rId2"/>
    <sheet name="INIT" sheetId="8" r:id="rId3"/>
    <sheet name="TM" sheetId="1" r:id="rId4"/>
    <sheet name="TMsd" sheetId="7" r:id="rId5"/>
    <sheet name="Corr" sheetId="9" r:id="rId6"/>
    <sheet name="Base" sheetId="3" r:id="rId7"/>
    <sheet name="CFact" sheetId="4" r:id="rId8"/>
    <sheet name="Hidden" sheetId="12" state="hidden" r:id="rId9"/>
  </sheets>
  <definedNames>
    <definedName name="_xlnm._FilterDatabase" localSheetId="7" hidden="1">CFact!$A$1:$H$46</definedName>
  </definedNames>
  <calcPr calcId="152511"/>
</workbook>
</file>

<file path=xl/calcChain.xml><?xml version="1.0" encoding="utf-8"?>
<calcChain xmlns="http://schemas.openxmlformats.org/spreadsheetml/2006/main">
  <c r="B8" i="8" l="1"/>
  <c r="A7" i="11" l="1"/>
  <c r="A8" i="11" s="1"/>
  <c r="A9" i="11" s="1"/>
  <c r="A10" i="11" s="1"/>
  <c r="F42" i="4" l="1"/>
  <c r="F11" i="4"/>
  <c r="F41" i="4"/>
  <c r="F9" i="4"/>
  <c r="F10"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8" i="4" l="1"/>
  <c r="F7" i="4"/>
  <c r="F6" i="4"/>
  <c r="F5" i="4"/>
  <c r="F4" i="4"/>
  <c r="F3" i="4"/>
  <c r="F2" i="4"/>
  <c r="F3" i="3"/>
  <c r="F4" i="3"/>
  <c r="F5" i="3"/>
  <c r="F6" i="3"/>
  <c r="F7" i="3"/>
  <c r="F8" i="3"/>
  <c r="F9" i="3"/>
  <c r="F10" i="3"/>
  <c r="F2" i="3"/>
</calcChain>
</file>

<file path=xl/sharedStrings.xml><?xml version="1.0" encoding="utf-8"?>
<sst xmlns="http://schemas.openxmlformats.org/spreadsheetml/2006/main" count="452" uniqueCount="223">
  <si>
    <t>T1</t>
  </si>
  <si>
    <t>T2</t>
  </si>
  <si>
    <t>T3</t>
  </si>
  <si>
    <t>T4</t>
  </si>
  <si>
    <t>T5</t>
  </si>
  <si>
    <t>T6</t>
  </si>
  <si>
    <t>T7</t>
  </si>
  <si>
    <t>T8</t>
  </si>
  <si>
    <t>T9</t>
  </si>
  <si>
    <t>T10</t>
  </si>
  <si>
    <t>T11</t>
  </si>
  <si>
    <t>T12</t>
  </si>
  <si>
    <t>T13</t>
  </si>
  <si>
    <t>T14</t>
  </si>
  <si>
    <t>T15</t>
  </si>
  <si>
    <t>T16</t>
  </si>
  <si>
    <t>T17</t>
  </si>
  <si>
    <t>T18</t>
  </si>
  <si>
    <t>T19</t>
  </si>
  <si>
    <t>T20</t>
  </si>
  <si>
    <t>T21</t>
  </si>
  <si>
    <t>T22</t>
  </si>
  <si>
    <t>AgeCl</t>
  </si>
  <si>
    <t>Base</t>
  </si>
  <si>
    <t>Case</t>
  </si>
  <si>
    <t>T</t>
  </si>
  <si>
    <t>ST0</t>
  </si>
  <si>
    <t>ST1</t>
  </si>
  <si>
    <t>Code</t>
  </si>
  <si>
    <t>P1</t>
  </si>
  <si>
    <t>P3</t>
  </si>
  <si>
    <t>P4</t>
  </si>
  <si>
    <t>P5</t>
  </si>
  <si>
    <t>P30</t>
  </si>
  <si>
    <t>P31</t>
  </si>
  <si>
    <t>P32</t>
  </si>
  <si>
    <t>P33</t>
  </si>
  <si>
    <t>1-T1</t>
  </si>
  <si>
    <t>1-T13</t>
  </si>
  <si>
    <t>1-T21</t>
  </si>
  <si>
    <t>Cfact</t>
  </si>
  <si>
    <t>T1 * T2</t>
  </si>
  <si>
    <t>1-T22</t>
  </si>
  <si>
    <t>(1-T1)* T3</t>
  </si>
  <si>
    <t>T13 * T14</t>
  </si>
  <si>
    <t>(1-T13) * T16</t>
  </si>
  <si>
    <t>P2</t>
  </si>
  <si>
    <t>P6</t>
  </si>
  <si>
    <t>P7</t>
  </si>
  <si>
    <t>P8</t>
  </si>
  <si>
    <t>P9</t>
  </si>
  <si>
    <t>P10</t>
  </si>
  <si>
    <t>P11</t>
  </si>
  <si>
    <t>T13 * (1-(T14+T15))</t>
  </si>
  <si>
    <t>1-(T4+T5+T6)</t>
  </si>
  <si>
    <t>P12</t>
  </si>
  <si>
    <t>P13</t>
  </si>
  <si>
    <t>P14</t>
  </si>
  <si>
    <t>P15</t>
  </si>
  <si>
    <t>P16</t>
  </si>
  <si>
    <t>P17</t>
  </si>
  <si>
    <t>P18</t>
  </si>
  <si>
    <t>P19</t>
  </si>
  <si>
    <t>P20</t>
  </si>
  <si>
    <t>P21</t>
  </si>
  <si>
    <t>P22</t>
  </si>
  <si>
    <t>P23</t>
  </si>
  <si>
    <t>1-(T7+T8)</t>
  </si>
  <si>
    <t>1-(T17+T18)</t>
  </si>
  <si>
    <t>1-T10</t>
  </si>
  <si>
    <t>1-T9</t>
  </si>
  <si>
    <t>1-T20</t>
  </si>
  <si>
    <t>P24</t>
  </si>
  <si>
    <t>P25</t>
  </si>
  <si>
    <t>P26</t>
  </si>
  <si>
    <t>P27</t>
  </si>
  <si>
    <t>P28</t>
  </si>
  <si>
    <t>P29</t>
  </si>
  <si>
    <t>1-T11</t>
  </si>
  <si>
    <t>1-T12</t>
  </si>
  <si>
    <t>P34</t>
  </si>
  <si>
    <t>P35</t>
  </si>
  <si>
    <t>P36</t>
  </si>
  <si>
    <t>P37</t>
  </si>
  <si>
    <t>P38</t>
  </si>
  <si>
    <t>P39</t>
  </si>
  <si>
    <t>P40</t>
  </si>
  <si>
    <t>EQ</t>
  </si>
  <si>
    <t>(T1*(1 - T2)) + ((1-T1)*(1-T3))</t>
  </si>
  <si>
    <t>1-T19</t>
  </si>
  <si>
    <t>((T13 * T15)+(1-T13)*(1-T16))</t>
  </si>
  <si>
    <t>P41</t>
  </si>
  <si>
    <t>Name</t>
  </si>
  <si>
    <t>Value</t>
  </si>
  <si>
    <t>Description</t>
  </si>
  <si>
    <t>JobID</t>
  </si>
  <si>
    <t>ModelName</t>
  </si>
  <si>
    <t>MortalityModel</t>
  </si>
  <si>
    <t>The name of  the  file with the poisson regression coefficients.</t>
  </si>
  <si>
    <t>StartAge</t>
  </si>
  <si>
    <t>NumberAgeCategories</t>
  </si>
  <si>
    <t>AgeCategoryWidth</t>
  </si>
  <si>
    <t>ERRC</t>
  </si>
  <si>
    <t>ERRF</t>
  </si>
  <si>
    <t>ERRCV</t>
  </si>
  <si>
    <t>ERRFV</t>
  </si>
  <si>
    <t>NumberIterations</t>
  </si>
  <si>
    <t>PopulationSize</t>
  </si>
  <si>
    <t>MortalityFunction</t>
  </si>
  <si>
    <t>Version</t>
  </si>
  <si>
    <t>Seed</t>
  </si>
  <si>
    <t>integer</t>
  </si>
  <si>
    <t>File that holds the functions that calculate mortaility for the base and counterfactual scenarios for different exposure histories</t>
  </si>
  <si>
    <t>WinBugs_TestBetas.txt</t>
  </si>
  <si>
    <t>NOTE: Use plain formatting for all numbers (no scientific notation or commas)</t>
  </si>
  <si>
    <t>Below is a summary of each tab</t>
  </si>
  <si>
    <t>Input probabilities for state transitions. Should not be exhaustive, but specify a subset of probabilties.</t>
  </si>
  <si>
    <t>Corr</t>
  </si>
  <si>
    <t>Each column represents a combination of specific probabities from TM (as shown in the rows of Corr) whose sum must be less than or equal to 1. The numbers in each column l identify which COLUMNs in TM are involved in that particular combination</t>
  </si>
  <si>
    <t>Contains formulas in terms of the coumn names in TM that indicates how to calculate the unspecified transition probabilities (i.e., those not explicitly in TM) for the base case. The formula is entered in the column labeled "T" in Base, and it represents the calculation for the transision from the state in ST0 to the state in ST1.</t>
  </si>
  <si>
    <t>Contains formulas in terms of the coumn names in TM that indicates how to calculate the unspecified transition probabilities (i.e., those not explicitly in TM) for the counterfactual case. The formula is entered in the column labeled "T" in CFact, and it represents the calculation for the transision from the state in ST0 to the state in ST1.</t>
  </si>
  <si>
    <r>
      <t xml:space="preserve">These tabs specify the underlying model structure, and should </t>
    </r>
    <r>
      <rPr>
        <b/>
        <u/>
        <sz val="11"/>
        <color theme="1"/>
        <rFont val="Calibri"/>
        <family val="2"/>
        <scheme val="minor"/>
      </rPr>
      <t>NOT</t>
    </r>
    <r>
      <rPr>
        <b/>
        <sz val="11"/>
        <color theme="1"/>
        <rFont val="Calibri"/>
        <family val="2"/>
        <scheme val="minor"/>
      </rPr>
      <t xml:space="preserve"> be changed unless the underlying model STRUCTURE (not parameter values, but the actual number or type of parameters) is changed</t>
    </r>
  </si>
  <si>
    <t>INIT</t>
  </si>
  <si>
    <t>TM</t>
  </si>
  <si>
    <r>
      <t xml:space="preserve">The </t>
    </r>
    <r>
      <rPr>
        <b/>
        <u/>
        <sz val="11"/>
        <color theme="1"/>
        <rFont val="Calibri"/>
        <family val="2"/>
        <scheme val="minor"/>
      </rPr>
      <t>cell values</t>
    </r>
    <r>
      <rPr>
        <b/>
        <sz val="11"/>
        <color theme="1"/>
        <rFont val="Calibri"/>
        <family val="2"/>
        <scheme val="minor"/>
      </rPr>
      <t xml:space="preserve"> within these tabs can be edited for (i.e., for given model structure)</t>
    </r>
  </si>
  <si>
    <t>Model initialization file, where you specify which model is being run and how.</t>
  </si>
  <si>
    <t>Prow</t>
  </si>
  <si>
    <t>Pcol</t>
  </si>
  <si>
    <t>This is a calculated field. Value based on TM Specification.</t>
  </si>
  <si>
    <t xml:space="preserve">Unique job number for this specific model </t>
  </si>
  <si>
    <t>Name for this model</t>
  </si>
  <si>
    <t>ERR, MRTP vs. smoking, current use [Linear scale]</t>
  </si>
  <si>
    <t>ERR, MRTP vs. smoking, former use. [Linear scale]</t>
  </si>
  <si>
    <t>Model description  entered  by the user.</t>
  </si>
  <si>
    <t>Number of iterations for the model. Must be AT MOST 10,000.</t>
  </si>
  <si>
    <t>Starting age for the population (can be a decimal).</t>
  </si>
  <si>
    <t>Creating a New Model</t>
  </si>
  <si>
    <t>Step</t>
  </si>
  <si>
    <t>Task</t>
  </si>
  <si>
    <t>NOTE:</t>
  </si>
  <si>
    <t>Make a copy of the ModSpecFile.xlsx file (this is a template for a new model).</t>
  </si>
  <si>
    <t xml:space="preserve">Open the copy and fill out the fields in the INIT tab. </t>
  </si>
  <si>
    <t>Save and close the copy of the ModSpecFile</t>
  </si>
  <si>
    <t>Rename the copy to the following "JOBIDXXX.xlsx", where XXX should match the text you entered in the Job ID field in the INIT tab.</t>
  </si>
  <si>
    <t>Review the TM tab to verify it has the correct probabilities, or modify them to match the desired modelling scenario.</t>
  </si>
  <si>
    <t>Review the TMv tab to verify the variances.</t>
  </si>
  <si>
    <t>Running a Model</t>
  </si>
  <si>
    <t>Open the INIT.xlsx spreadsheet and enter the filename of the appropriate ModSpecFile into Cell B4  of INIT.xlsx. This tells RDPM which file to read for the model parameters.</t>
  </si>
  <si>
    <t>E.g., If your model's ModSpecFile is named "JOBID002.xlsx", then you would enter this into Cell B4 of INIT.xlsx. This will ensure RDPM runs the proper model.</t>
  </si>
  <si>
    <t>Save and close the INIT.xlsx file.</t>
  </si>
  <si>
    <t>Start R</t>
  </si>
  <si>
    <t>You should see a progress bar that indicates what step RDPM is currently working on.</t>
  </si>
  <si>
    <t>Below is a description of the different output files:</t>
  </si>
  <si>
    <r>
      <rPr>
        <b/>
        <sz val="14"/>
        <color theme="1"/>
        <rFont val="Calibri"/>
        <family val="2"/>
        <scheme val="minor"/>
      </rPr>
      <t>.xlsx CSV file:</t>
    </r>
    <r>
      <rPr>
        <sz val="14"/>
        <color theme="1"/>
        <rFont val="Calibri"/>
        <family val="2"/>
        <scheme val="minor"/>
      </rPr>
      <t xml:space="preserve"> This is a summary of the results for each scenario and state, organized by age category.</t>
    </r>
  </si>
  <si>
    <r>
      <rPr>
        <b/>
        <sz val="14"/>
        <color theme="1"/>
        <rFont val="Calibri"/>
        <family val="2"/>
        <scheme val="minor"/>
      </rPr>
      <t>.log file</t>
    </r>
    <r>
      <rPr>
        <sz val="14"/>
        <color theme="1"/>
        <rFont val="Calibri"/>
        <family val="2"/>
        <scheme val="minor"/>
      </rPr>
      <t>: This is a printout of all the output generated by RDPM during your model run.</t>
    </r>
  </si>
  <si>
    <r>
      <rPr>
        <b/>
        <sz val="14"/>
        <color theme="1"/>
        <rFont val="Calibri"/>
        <family val="2"/>
        <scheme val="minor"/>
      </rPr>
      <t>.Rdat file</t>
    </r>
    <r>
      <rPr>
        <sz val="14"/>
        <color theme="1"/>
        <rFont val="Calibri"/>
        <family val="2"/>
        <scheme val="minor"/>
      </rPr>
      <t>: This is a data file that stores every iteration result. It is stored as an R-list with two named elements: "BC" for base case data, and "CF" for counterfactual data. You can load this file directly into R for further data analysis.</t>
    </r>
  </si>
  <si>
    <t>MortModels</t>
  </si>
  <si>
    <t>JAGS_Male.txt</t>
  </si>
  <si>
    <t>JAGS_Female.txt</t>
  </si>
  <si>
    <t>Scales the output to match the desired starting population.</t>
  </si>
  <si>
    <t>Version of RDPM that is being run. This can be read from the StartRDPM source code, across the top of the file.</t>
  </si>
  <si>
    <t>Random seed. If you don't change this, then you will get EXACTLY the same results each time you run the model. This allows reproducability.</t>
  </si>
  <si>
    <t>WinBugs_notThinned.txt</t>
  </si>
  <si>
    <t>WinBUGS_notThinnedFF.txt</t>
  </si>
  <si>
    <t>WinBUGS_notThinnedV113V.txt</t>
  </si>
  <si>
    <t>nsA0</t>
  </si>
  <si>
    <t>nsA</t>
  </si>
  <si>
    <t>csAt</t>
  </si>
  <si>
    <t>fsAt</t>
  </si>
  <si>
    <t>duBt</t>
  </si>
  <si>
    <t>fsnAt</t>
  </si>
  <si>
    <t>duAt</t>
  </si>
  <si>
    <t>snBt</t>
  </si>
  <si>
    <t>csBt</t>
  </si>
  <si>
    <t>fsCt</t>
  </si>
  <si>
    <t>snCt</t>
  </si>
  <si>
    <t>fsnBt</t>
  </si>
  <si>
    <t>csCt</t>
  </si>
  <si>
    <t>fsnCt</t>
  </si>
  <si>
    <t>fduAt</t>
  </si>
  <si>
    <t>fsDt</t>
  </si>
  <si>
    <t>fduBt</t>
  </si>
  <si>
    <t>snDt</t>
  </si>
  <si>
    <t>fsnDt</t>
  </si>
  <si>
    <t>csDt</t>
  </si>
  <si>
    <t>fsEt</t>
  </si>
  <si>
    <t>csA0t</t>
  </si>
  <si>
    <t>fsA0t</t>
  </si>
  <si>
    <t>csD0t</t>
  </si>
  <si>
    <t>fsE0t</t>
  </si>
  <si>
    <t>Standard Deviation of ERRC [Linear scale]</t>
  </si>
  <si>
    <t>Standard Deviation of ERRF [Linear scale]</t>
  </si>
  <si>
    <t>TMsd</t>
  </si>
  <si>
    <t>Standard Deviation of the above probabilties</t>
  </si>
  <si>
    <t>User Initials</t>
  </si>
  <si>
    <t>UserID</t>
  </si>
  <si>
    <t>If you have installed RDPM to a different directory you will need to modify the cells in the INIT.xlsx file accordingly</t>
  </si>
  <si>
    <t>T23</t>
  </si>
  <si>
    <t>T24</t>
  </si>
  <si>
    <t>T25</t>
  </si>
  <si>
    <t>P42</t>
  </si>
  <si>
    <t>P42:T23</t>
  </si>
  <si>
    <t>P43</t>
  </si>
  <si>
    <t>P44</t>
  </si>
  <si>
    <t>P45</t>
  </si>
  <si>
    <t>MortFunctions_GW.r</t>
  </si>
  <si>
    <t>P43:T24</t>
  </si>
  <si>
    <t>P44:T25</t>
  </si>
  <si>
    <t>1-(T23+T24+T25)</t>
  </si>
  <si>
    <t>P45:1-(T23+T24+T25)</t>
  </si>
  <si>
    <t>snAte</t>
  </si>
  <si>
    <t>snAtn</t>
  </si>
  <si>
    <t>1.6</t>
  </si>
  <si>
    <t>Example</t>
  </si>
  <si>
    <t>NA</t>
  </si>
  <si>
    <t>Example Model</t>
  </si>
  <si>
    <t>001</t>
  </si>
  <si>
    <t>Run the StartRDPM.R script file to start the simulation. You can use the below command in R:</t>
  </si>
  <si>
    <t>Set the working directory for R to C:\RDPM\RDPM v1.6a. You can use the below command in R:</t>
  </si>
  <si>
    <t>setwd("C:/RDPM/RDPM v1.6a")</t>
  </si>
  <si>
    <t>At the conclusion of the simulation, you can check the C:\RDPM\RDPM v1.6a\Results folder for the results files. They will have the same name as the ModSpecFile, but with a date/time stamp and different extensions.</t>
  </si>
  <si>
    <t xml:space="preserve">These instructions assume you have placed the RDPM source code files into the C:\RDPM\RDPM v1.6a directory and have created the subdirectory "Results" in C:\RDPM\RDPM v1.6a </t>
  </si>
  <si>
    <t>source("StartRDPM.r")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</si>
</sst>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33333"/>
      <name val="Calibri"/>
      <family val="2"/>
      <scheme val="minor"/>
    </font>
    <font>
      <b/>
      <sz val="11"/>
      <color rgb="FFFF0000"/>
      <name val="Calibri"/>
      <family val="2"/>
      <scheme val="minor"/>
    </font>
    <font>
      <b/>
      <u/>
      <sz val="11"/>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
      <b/>
      <u/>
      <sz val="14"/>
      <color theme="1"/>
      <name val="Calibri"/>
      <family val="2"/>
      <scheme val="minor"/>
    </font>
    <font>
      <b/>
      <sz val="20"/>
      <color rgb="FFFF0000"/>
      <name val="Calibri"/>
      <family val="2"/>
      <scheme val="minor"/>
    </font>
    <font>
      <sz val="14"/>
      <color rgb="FFFF0000"/>
      <name val="Calibri"/>
      <family val="2"/>
      <scheme val="minor"/>
    </font>
    <font>
      <u/>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25">
    <xf numFmtId="0" fontId="0" fillId="0" borderId="0" xfId="0"/>
    <xf numFmtId="0" fontId="16" fillId="0" borderId="0" xfId="0" applyFont="1"/>
    <xf numFmtId="0" fontId="0" fillId="0" borderId="0" xfId="0" applyFill="1"/>
    <xf numFmtId="0" fontId="0" fillId="0" borderId="0" xfId="0" applyFill="1" applyAlignment="1">
      <alignment horizontal="left"/>
    </xf>
    <xf numFmtId="0" fontId="0" fillId="33" borderId="0" xfId="0" applyFill="1"/>
    <xf numFmtId="0" fontId="0" fillId="34" borderId="0" xfId="0" applyFill="1"/>
    <xf numFmtId="0" fontId="0" fillId="0" borderId="0" xfId="0" applyProtection="1">
      <protection locked="0"/>
    </xf>
    <xf numFmtId="49" fontId="0" fillId="0" borderId="0" xfId="0" applyNumberFormat="1" applyProtection="1">
      <protection locked="0"/>
    </xf>
    <xf numFmtId="0" fontId="0" fillId="0" borderId="0" xfId="0" applyNumberFormat="1" applyProtection="1">
      <protection locked="0"/>
    </xf>
    <xf numFmtId="164" fontId="0" fillId="0" borderId="0" xfId="42" applyNumberFormat="1" applyFont="1" applyProtection="1">
      <protection locked="0"/>
    </xf>
    <xf numFmtId="49" fontId="0" fillId="0" borderId="0" xfId="0" applyNumberFormat="1" applyAlignment="1" applyProtection="1">
      <alignment horizontal="right"/>
      <protection locked="0"/>
    </xf>
    <xf numFmtId="0" fontId="21" fillId="0" borderId="0" xfId="0" applyFont="1"/>
    <xf numFmtId="0" fontId="23" fillId="0" borderId="0" xfId="0" applyFont="1"/>
    <xf numFmtId="0" fontId="24" fillId="0" borderId="0" xfId="0" applyFont="1" applyAlignment="1">
      <alignment horizontal="center"/>
    </xf>
    <xf numFmtId="0" fontId="21" fillId="0" borderId="0" xfId="0" applyFont="1" applyAlignment="1">
      <alignment horizontal="center"/>
    </xf>
    <xf numFmtId="0" fontId="24" fillId="0" borderId="0" xfId="0" applyFont="1" applyAlignment="1">
      <alignment horizontal="left"/>
    </xf>
    <xf numFmtId="0" fontId="25" fillId="0" borderId="0" xfId="0" applyFont="1"/>
    <xf numFmtId="0" fontId="26" fillId="0" borderId="0" xfId="0" applyFont="1"/>
    <xf numFmtId="0" fontId="21" fillId="0" borderId="0" xfId="0" quotePrefix="1" applyFont="1"/>
    <xf numFmtId="0" fontId="27" fillId="0" borderId="0" xfId="0" applyFont="1"/>
    <xf numFmtId="0" fontId="16" fillId="0" borderId="0" xfId="0" applyFont="1" applyProtection="1"/>
    <xf numFmtId="0" fontId="0" fillId="0" borderId="0" xfId="0" applyProtection="1"/>
    <xf numFmtId="0" fontId="0" fillId="0" borderId="0" xfId="0" applyFont="1" applyProtection="1"/>
    <xf numFmtId="0" fontId="18" fillId="0" borderId="0" xfId="0" applyFont="1" applyProtection="1"/>
    <xf numFmtId="0" fontId="19" fillId="0" borderId="0" xfId="0" applyFont="1" applyProtection="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B60"/>
  <sheetViews>
    <sheetView zoomScale="80" zoomScaleNormal="80" workbookViewId="0">
      <selection activeCell="B32" sqref="B32"/>
    </sheetView>
  </sheetViews>
  <sheetFormatPr defaultRowHeight="15" x14ac:dyDescent="0.25"/>
  <cols>
    <col min="1" max="1" width="13.42578125" customWidth="1"/>
    <col min="2" max="2" width="205.7109375" customWidth="1"/>
  </cols>
  <sheetData>
    <row r="1" spans="1:2" ht="26.25" x14ac:dyDescent="0.4">
      <c r="A1" s="12" t="s">
        <v>136</v>
      </c>
    </row>
    <row r="2" spans="1:2" ht="26.25" x14ac:dyDescent="0.4">
      <c r="A2" s="16" t="s">
        <v>139</v>
      </c>
      <c r="B2" s="17" t="s">
        <v>221</v>
      </c>
    </row>
    <row r="3" spans="1:2" ht="26.25" x14ac:dyDescent="0.4">
      <c r="A3" s="16"/>
      <c r="B3" s="17" t="s">
        <v>196</v>
      </c>
    </row>
    <row r="4" spans="1:2" ht="18.75" x14ac:dyDescent="0.3">
      <c r="A4" s="13" t="s">
        <v>137</v>
      </c>
      <c r="B4" s="15" t="s">
        <v>138</v>
      </c>
    </row>
    <row r="5" spans="1:2" ht="18.75" x14ac:dyDescent="0.3">
      <c r="A5" s="14">
        <v>1</v>
      </c>
      <c r="B5" s="11" t="s">
        <v>140</v>
      </c>
    </row>
    <row r="6" spans="1:2" ht="18.75" x14ac:dyDescent="0.3">
      <c r="A6" s="14">
        <v>2</v>
      </c>
      <c r="B6" s="11" t="s">
        <v>141</v>
      </c>
    </row>
    <row r="7" spans="1:2" ht="18.75" x14ac:dyDescent="0.3">
      <c r="A7" s="14">
        <f>A6+1</f>
        <v>3</v>
      </c>
      <c r="B7" s="11" t="s">
        <v>144</v>
      </c>
    </row>
    <row r="8" spans="1:2" ht="18.75" x14ac:dyDescent="0.3">
      <c r="A8" s="14">
        <f t="shared" ref="A8:A10" si="0">A7+1</f>
        <v>4</v>
      </c>
      <c r="B8" s="11" t="s">
        <v>145</v>
      </c>
    </row>
    <row r="9" spans="1:2" ht="18.75" x14ac:dyDescent="0.3">
      <c r="A9" s="14">
        <f t="shared" si="0"/>
        <v>5</v>
      </c>
      <c r="B9" s="11" t="s">
        <v>142</v>
      </c>
    </row>
    <row r="10" spans="1:2" ht="18.75" x14ac:dyDescent="0.3">
      <c r="A10" s="14">
        <f t="shared" si="0"/>
        <v>6</v>
      </c>
      <c r="B10" s="11" t="s">
        <v>143</v>
      </c>
    </row>
    <row r="11" spans="1:2" ht="18.75" x14ac:dyDescent="0.3">
      <c r="A11" s="14"/>
    </row>
    <row r="12" spans="1:2" ht="18.75" x14ac:dyDescent="0.3">
      <c r="A12" s="11"/>
      <c r="B12" s="11"/>
    </row>
    <row r="13" spans="1:2" ht="26.25" x14ac:dyDescent="0.4">
      <c r="A13" s="12" t="s">
        <v>146</v>
      </c>
      <c r="B13" s="11"/>
    </row>
    <row r="14" spans="1:2" ht="18.75" x14ac:dyDescent="0.3">
      <c r="A14" s="14">
        <v>1</v>
      </c>
      <c r="B14" s="11" t="s">
        <v>147</v>
      </c>
    </row>
    <row r="15" spans="1:2" ht="18.75" x14ac:dyDescent="0.3">
      <c r="A15" s="14"/>
      <c r="B15" s="11" t="s">
        <v>148</v>
      </c>
    </row>
    <row r="16" spans="1:2" ht="18.75" x14ac:dyDescent="0.3">
      <c r="A16" s="14">
        <v>2</v>
      </c>
      <c r="B16" s="11" t="s">
        <v>149</v>
      </c>
    </row>
    <row r="17" spans="1:2" ht="18.75" x14ac:dyDescent="0.3">
      <c r="A17" s="14">
        <v>3</v>
      </c>
      <c r="B17" s="11" t="s">
        <v>150</v>
      </c>
    </row>
    <row r="18" spans="1:2" ht="18.75" x14ac:dyDescent="0.3">
      <c r="A18" s="14">
        <v>4</v>
      </c>
      <c r="B18" s="11" t="s">
        <v>218</v>
      </c>
    </row>
    <row r="19" spans="1:2" ht="18.75" x14ac:dyDescent="0.3">
      <c r="A19" s="14"/>
      <c r="B19" s="11" t="s">
        <v>219</v>
      </c>
    </row>
    <row r="20" spans="1:2" ht="18.75" x14ac:dyDescent="0.3">
      <c r="A20" s="14">
        <v>5</v>
      </c>
      <c r="B20" s="11" t="s">
        <v>217</v>
      </c>
    </row>
    <row r="21" spans="1:2" ht="18.75" x14ac:dyDescent="0.3">
      <c r="A21" s="14"/>
      <c r="B21" s="11" t="s">
        <v>222</v>
      </c>
    </row>
    <row r="22" spans="1:2" ht="18.75" x14ac:dyDescent="0.3">
      <c r="A22" s="14">
        <v>6</v>
      </c>
      <c r="B22" s="11" t="s">
        <v>151</v>
      </c>
    </row>
    <row r="23" spans="1:2" ht="18.75" x14ac:dyDescent="0.3">
      <c r="A23" s="14">
        <v>7</v>
      </c>
      <c r="B23" s="11" t="s">
        <v>220</v>
      </c>
    </row>
    <row r="24" spans="1:2" ht="18.75" x14ac:dyDescent="0.3">
      <c r="A24" s="14"/>
      <c r="B24" s="19" t="s">
        <v>152</v>
      </c>
    </row>
    <row r="25" spans="1:2" ht="18.75" x14ac:dyDescent="0.3">
      <c r="A25" s="14"/>
      <c r="B25" s="11" t="s">
        <v>153</v>
      </c>
    </row>
    <row r="26" spans="1:2" ht="18.75" x14ac:dyDescent="0.3">
      <c r="A26" s="14"/>
      <c r="B26" s="11" t="s">
        <v>154</v>
      </c>
    </row>
    <row r="27" spans="1:2" ht="18.75" x14ac:dyDescent="0.3">
      <c r="A27" s="14"/>
      <c r="B27" s="18" t="s">
        <v>155</v>
      </c>
    </row>
    <row r="28" spans="1:2" ht="18.75" x14ac:dyDescent="0.3">
      <c r="A28" s="11"/>
      <c r="B28" s="11"/>
    </row>
    <row r="29" spans="1:2" ht="18.75" x14ac:dyDescent="0.3">
      <c r="A29" s="11"/>
      <c r="B29" s="11"/>
    </row>
    <row r="30" spans="1:2" ht="18.75" x14ac:dyDescent="0.3">
      <c r="A30" s="11"/>
      <c r="B30" s="11"/>
    </row>
    <row r="31" spans="1:2" ht="18.75" x14ac:dyDescent="0.3">
      <c r="A31" s="11"/>
      <c r="B31" s="11"/>
    </row>
    <row r="32" spans="1:2" ht="18.75" x14ac:dyDescent="0.3">
      <c r="A32" s="11"/>
      <c r="B32" s="11"/>
    </row>
    <row r="33" spans="1:2" ht="18.75" x14ac:dyDescent="0.3">
      <c r="A33" s="11"/>
      <c r="B33" s="11"/>
    </row>
    <row r="34" spans="1:2" ht="18.75" x14ac:dyDescent="0.3">
      <c r="A34" s="11"/>
      <c r="B34" s="11"/>
    </row>
    <row r="35" spans="1:2" ht="18.75" x14ac:dyDescent="0.3">
      <c r="A35" s="11"/>
      <c r="B35" s="11"/>
    </row>
    <row r="36" spans="1:2" ht="18.75" x14ac:dyDescent="0.3">
      <c r="A36" s="11"/>
      <c r="B36" s="11"/>
    </row>
    <row r="37" spans="1:2" ht="18.75" x14ac:dyDescent="0.3">
      <c r="A37" s="11"/>
      <c r="B37" s="11"/>
    </row>
    <row r="38" spans="1:2" ht="18.75" x14ac:dyDescent="0.3">
      <c r="A38" s="11"/>
      <c r="B38" s="11"/>
    </row>
    <row r="39" spans="1:2" ht="18.75" x14ac:dyDescent="0.3">
      <c r="A39" s="11"/>
      <c r="B39" s="11"/>
    </row>
    <row r="40" spans="1:2" ht="18.75" x14ac:dyDescent="0.3">
      <c r="A40" s="11"/>
      <c r="B40" s="11"/>
    </row>
    <row r="41" spans="1:2" ht="18.75" x14ac:dyDescent="0.3">
      <c r="A41" s="11"/>
      <c r="B41" s="11"/>
    </row>
    <row r="42" spans="1:2" ht="18.75" x14ac:dyDescent="0.3">
      <c r="A42" s="11"/>
      <c r="B42" s="11"/>
    </row>
    <row r="43" spans="1:2" ht="18.75" x14ac:dyDescent="0.3">
      <c r="A43" s="11"/>
      <c r="B43" s="11"/>
    </row>
    <row r="44" spans="1:2" ht="18.75" x14ac:dyDescent="0.3">
      <c r="A44" s="11"/>
      <c r="B44" s="11"/>
    </row>
    <row r="45" spans="1:2" ht="18.75" x14ac:dyDescent="0.3">
      <c r="A45" s="11"/>
      <c r="B45" s="11"/>
    </row>
    <row r="46" spans="1:2" ht="18.75" x14ac:dyDescent="0.3">
      <c r="A46" s="11"/>
      <c r="B46" s="11"/>
    </row>
    <row r="47" spans="1:2" ht="18.75" x14ac:dyDescent="0.3">
      <c r="A47" s="11"/>
      <c r="B47" s="11"/>
    </row>
    <row r="48" spans="1:2" ht="18.75" x14ac:dyDescent="0.3">
      <c r="A48" s="11"/>
      <c r="B48" s="11"/>
    </row>
    <row r="49" spans="1:2" ht="18.75" x14ac:dyDescent="0.3">
      <c r="A49" s="11"/>
      <c r="B49" s="11"/>
    </row>
    <row r="50" spans="1:2" ht="18.75" x14ac:dyDescent="0.3">
      <c r="A50" s="11"/>
      <c r="B50" s="11"/>
    </row>
    <row r="51" spans="1:2" ht="18.75" x14ac:dyDescent="0.3">
      <c r="A51" s="11"/>
      <c r="B51" s="11"/>
    </row>
    <row r="52" spans="1:2" ht="18.75" x14ac:dyDescent="0.3">
      <c r="A52" s="11"/>
      <c r="B52" s="11"/>
    </row>
    <row r="53" spans="1:2" ht="18.75" x14ac:dyDescent="0.3">
      <c r="A53" s="11"/>
      <c r="B53" s="11"/>
    </row>
    <row r="54" spans="1:2" ht="18.75" x14ac:dyDescent="0.3">
      <c r="A54" s="11"/>
      <c r="B54" s="11"/>
    </row>
    <row r="55" spans="1:2" ht="18.75" x14ac:dyDescent="0.3">
      <c r="A55" s="11"/>
      <c r="B55" s="11"/>
    </row>
    <row r="56" spans="1:2" ht="18.75" x14ac:dyDescent="0.3">
      <c r="A56" s="11"/>
      <c r="B56" s="11"/>
    </row>
    <row r="57" spans="1:2" ht="18.75" x14ac:dyDescent="0.3">
      <c r="A57" s="11"/>
      <c r="B57" s="11"/>
    </row>
    <row r="58" spans="1:2" ht="18.75" x14ac:dyDescent="0.3">
      <c r="A58" s="11"/>
      <c r="B58" s="11"/>
    </row>
    <row r="59" spans="1:2" ht="18.75" x14ac:dyDescent="0.3">
      <c r="A59" s="11"/>
      <c r="B59" s="11"/>
    </row>
    <row r="60" spans="1:2" ht="18.75" x14ac:dyDescent="0.3">
      <c r="A60" s="11"/>
      <c r="B6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11"/>
  <sheetViews>
    <sheetView workbookViewId="0">
      <selection activeCell="C12" sqref="C12"/>
    </sheetView>
  </sheetViews>
  <sheetFormatPr defaultRowHeight="15" x14ac:dyDescent="0.25"/>
  <sheetData>
    <row r="1" spans="1:2" x14ac:dyDescent="0.25">
      <c r="A1" s="1" t="s">
        <v>115</v>
      </c>
    </row>
    <row r="3" spans="1:2" x14ac:dyDescent="0.25">
      <c r="A3" s="1" t="s">
        <v>124</v>
      </c>
    </row>
    <row r="4" spans="1:2" x14ac:dyDescent="0.25">
      <c r="A4" s="4" t="s">
        <v>122</v>
      </c>
      <c r="B4" t="s">
        <v>125</v>
      </c>
    </row>
    <row r="5" spans="1:2" x14ac:dyDescent="0.25">
      <c r="A5" s="4" t="s">
        <v>123</v>
      </c>
      <c r="B5" t="s">
        <v>116</v>
      </c>
    </row>
    <row r="6" spans="1:2" x14ac:dyDescent="0.25">
      <c r="A6" s="4" t="s">
        <v>192</v>
      </c>
      <c r="B6" t="s">
        <v>193</v>
      </c>
    </row>
    <row r="8" spans="1:2" x14ac:dyDescent="0.25">
      <c r="A8" s="1" t="s">
        <v>121</v>
      </c>
    </row>
    <row r="9" spans="1:2" x14ac:dyDescent="0.25">
      <c r="A9" s="5" t="s">
        <v>117</v>
      </c>
      <c r="B9" t="s">
        <v>118</v>
      </c>
    </row>
    <row r="10" spans="1:2" x14ac:dyDescent="0.25">
      <c r="A10" s="5" t="s">
        <v>23</v>
      </c>
      <c r="B10" t="s">
        <v>119</v>
      </c>
    </row>
    <row r="11" spans="1:2" x14ac:dyDescent="0.25">
      <c r="A11" s="5" t="s">
        <v>40</v>
      </c>
      <c r="B11" t="s">
        <v>120</v>
      </c>
    </row>
  </sheetData>
  <sheetProtection sheet="1" objects="1" scenarios="1"/>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9"/>
  <sheetViews>
    <sheetView tabSelected="1" workbookViewId="0">
      <selection activeCell="B2" sqref="B2"/>
    </sheetView>
  </sheetViews>
  <sheetFormatPr defaultRowHeight="15" x14ac:dyDescent="0.25"/>
  <cols>
    <col min="1" max="1" width="27.140625" style="21" customWidth="1"/>
    <col min="2" max="2" width="27.85546875" customWidth="1"/>
    <col min="3" max="3" width="57.85546875" style="21" customWidth="1"/>
    <col min="4" max="4" width="46.42578125" customWidth="1"/>
  </cols>
  <sheetData>
    <row r="1" spans="1:4" x14ac:dyDescent="0.25">
      <c r="A1" s="20" t="s">
        <v>92</v>
      </c>
      <c r="B1" s="20" t="s">
        <v>93</v>
      </c>
      <c r="C1" s="20" t="s">
        <v>94</v>
      </c>
      <c r="D1" s="21"/>
    </row>
    <row r="2" spans="1:4" x14ac:dyDescent="0.25">
      <c r="A2" s="21" t="s">
        <v>95</v>
      </c>
      <c r="B2" s="7" t="s">
        <v>216</v>
      </c>
      <c r="C2" s="22" t="s">
        <v>129</v>
      </c>
      <c r="D2" s="21"/>
    </row>
    <row r="3" spans="1:4" x14ac:dyDescent="0.25">
      <c r="A3" s="21" t="s">
        <v>96</v>
      </c>
      <c r="B3" s="7" t="s">
        <v>213</v>
      </c>
      <c r="C3" s="22" t="s">
        <v>130</v>
      </c>
      <c r="D3" s="21"/>
    </row>
    <row r="4" spans="1:4" x14ac:dyDescent="0.25">
      <c r="A4" s="21" t="s">
        <v>195</v>
      </c>
      <c r="B4" s="7" t="s">
        <v>214</v>
      </c>
      <c r="C4" s="22" t="s">
        <v>194</v>
      </c>
      <c r="D4" s="21"/>
    </row>
    <row r="5" spans="1:4" x14ac:dyDescent="0.25">
      <c r="A5" s="21" t="s">
        <v>97</v>
      </c>
      <c r="B5" s="7" t="s">
        <v>157</v>
      </c>
      <c r="C5" s="22" t="s">
        <v>98</v>
      </c>
      <c r="D5" s="21"/>
    </row>
    <row r="6" spans="1:4" x14ac:dyDescent="0.25">
      <c r="A6" s="21" t="s">
        <v>108</v>
      </c>
      <c r="B6" s="7" t="s">
        <v>205</v>
      </c>
      <c r="C6" s="22" t="s">
        <v>112</v>
      </c>
      <c r="D6" s="21"/>
    </row>
    <row r="7" spans="1:4" x14ac:dyDescent="0.25">
      <c r="A7" s="21" t="s">
        <v>99</v>
      </c>
      <c r="B7" s="6">
        <v>13</v>
      </c>
      <c r="C7" s="22" t="s">
        <v>135</v>
      </c>
      <c r="D7" s="21"/>
    </row>
    <row r="8" spans="1:4" x14ac:dyDescent="0.25">
      <c r="A8" s="21" t="s">
        <v>100</v>
      </c>
      <c r="B8" s="21">
        <f>COUNT(TM!A:A)</f>
        <v>18</v>
      </c>
      <c r="C8" s="22" t="s">
        <v>128</v>
      </c>
      <c r="D8" s="21"/>
    </row>
    <row r="9" spans="1:4" x14ac:dyDescent="0.25">
      <c r="A9" s="21" t="s">
        <v>101</v>
      </c>
      <c r="B9" s="6">
        <v>5</v>
      </c>
      <c r="C9" s="22" t="s">
        <v>111</v>
      </c>
      <c r="D9" s="21"/>
    </row>
    <row r="10" spans="1:4" x14ac:dyDescent="0.25">
      <c r="A10" s="21" t="s">
        <v>102</v>
      </c>
      <c r="B10" s="6">
        <v>0.08</v>
      </c>
      <c r="C10" s="23" t="s">
        <v>131</v>
      </c>
      <c r="D10" s="21"/>
    </row>
    <row r="11" spans="1:4" x14ac:dyDescent="0.25">
      <c r="A11" s="21" t="s">
        <v>103</v>
      </c>
      <c r="B11" s="6">
        <v>0.08</v>
      </c>
      <c r="C11" s="23" t="s">
        <v>132</v>
      </c>
      <c r="D11" s="21"/>
    </row>
    <row r="12" spans="1:4" x14ac:dyDescent="0.25">
      <c r="A12" s="21" t="s">
        <v>104</v>
      </c>
      <c r="B12" s="6">
        <v>0.01</v>
      </c>
      <c r="C12" s="23" t="s">
        <v>190</v>
      </c>
      <c r="D12" s="21"/>
    </row>
    <row r="13" spans="1:4" x14ac:dyDescent="0.25">
      <c r="A13" s="21" t="s">
        <v>105</v>
      </c>
      <c r="B13" s="6">
        <v>0.01</v>
      </c>
      <c r="C13" s="23" t="s">
        <v>191</v>
      </c>
      <c r="D13" s="21"/>
    </row>
    <row r="14" spans="1:4" x14ac:dyDescent="0.25">
      <c r="A14" s="21" t="s">
        <v>106</v>
      </c>
      <c r="B14" s="8">
        <v>10000</v>
      </c>
      <c r="C14" s="23" t="s">
        <v>134</v>
      </c>
      <c r="D14" s="21"/>
    </row>
    <row r="15" spans="1:4" x14ac:dyDescent="0.25">
      <c r="A15" s="21" t="s">
        <v>107</v>
      </c>
      <c r="B15" s="9">
        <v>1000000</v>
      </c>
      <c r="C15" s="22" t="s">
        <v>159</v>
      </c>
      <c r="D15" s="21"/>
    </row>
    <row r="16" spans="1:4" x14ac:dyDescent="0.25">
      <c r="A16" s="21" t="s">
        <v>109</v>
      </c>
      <c r="B16" s="10" t="s">
        <v>212</v>
      </c>
      <c r="C16" s="23" t="s">
        <v>160</v>
      </c>
      <c r="D16" s="21"/>
    </row>
    <row r="17" spans="1:4" x14ac:dyDescent="0.25">
      <c r="A17" s="21" t="s">
        <v>110</v>
      </c>
      <c r="B17" s="6">
        <v>12345</v>
      </c>
      <c r="C17" s="22" t="s">
        <v>161</v>
      </c>
      <c r="D17" s="21"/>
    </row>
    <row r="18" spans="1:4" x14ac:dyDescent="0.25">
      <c r="A18" s="21" t="s">
        <v>94</v>
      </c>
      <c r="B18" s="6" t="s">
        <v>215</v>
      </c>
      <c r="C18" s="22" t="s">
        <v>133</v>
      </c>
      <c r="D18" s="21"/>
    </row>
    <row r="19" spans="1:4" x14ac:dyDescent="0.25">
      <c r="A19" s="24" t="s">
        <v>114</v>
      </c>
      <c r="B19" s="21"/>
      <c r="D19" s="21"/>
    </row>
  </sheetData>
  <sheetProtection sheet="1" objects="1" scenarios="1" selectLockedCells="1"/>
  <dataValidations count="2">
    <dataValidation allowBlank="1" showInputMessage="1" showErrorMessage="1" error="# Runs must be between 2 and 10,000" prompt="# Runs must be between 2 and 10,000" sqref="B14"/>
    <dataValidation type="whole" allowBlank="1" showInputMessage="1" showErrorMessage="1" error="Width must be an integer" prompt="Enter integer for category width" sqref="B9">
      <formula1>1</formula1>
      <formula2>100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Hidden!$A$2:$A$10</xm:f>
          </x14:formula1>
          <xm:sqref>B5</xm:sqref>
        </x14:dataValidation>
        <x14:dataValidation type="list" allowBlank="1" showInputMessage="1" showErrorMessage="1">
          <x14:formula1>
            <xm:f>Hidden!$B$2:$B$8</xm:f>
          </x14:formula1>
          <xm:sqref>B6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31"/>
  <sheetViews>
    <sheetView workbookViewId="0">
      <selection activeCell="B2" sqref="B2:Z19"/>
    </sheetView>
  </sheetViews>
  <sheetFormatPr defaultRowHeight="15" x14ac:dyDescent="0.25"/>
  <sheetData>
    <row r="1" spans="1:29" x14ac:dyDescent="0.25">
      <c r="A1" s="21" t="s">
        <v>22</v>
      </c>
      <c r="B1" s="22" t="s">
        <v>0</v>
      </c>
      <c r="C1" s="21" t="s">
        <v>1</v>
      </c>
      <c r="D1" s="21" t="s">
        <v>2</v>
      </c>
      <c r="E1" s="21" t="s">
        <v>3</v>
      </c>
      <c r="F1" s="21" t="s">
        <v>4</v>
      </c>
      <c r="G1" s="21" t="s">
        <v>5</v>
      </c>
      <c r="H1" s="21" t="s">
        <v>6</v>
      </c>
      <c r="I1" s="21" t="s">
        <v>7</v>
      </c>
      <c r="J1" s="21" t="s">
        <v>8</v>
      </c>
      <c r="K1" s="21" t="s">
        <v>9</v>
      </c>
      <c r="L1" s="21" t="s">
        <v>10</v>
      </c>
      <c r="M1" s="21" t="s">
        <v>11</v>
      </c>
      <c r="N1" s="21" t="s">
        <v>12</v>
      </c>
      <c r="O1" s="21" t="s">
        <v>13</v>
      </c>
      <c r="P1" s="21" t="s">
        <v>14</v>
      </c>
      <c r="Q1" s="21" t="s">
        <v>15</v>
      </c>
      <c r="R1" s="21" t="s">
        <v>16</v>
      </c>
      <c r="S1" s="21" t="s">
        <v>17</v>
      </c>
      <c r="T1" s="21" t="s">
        <v>18</v>
      </c>
      <c r="U1" s="21" t="s">
        <v>19</v>
      </c>
      <c r="V1" s="21" t="s">
        <v>20</v>
      </c>
      <c r="W1" s="21" t="s">
        <v>21</v>
      </c>
      <c r="X1" s="21" t="s">
        <v>197</v>
      </c>
      <c r="Y1" s="21" t="s">
        <v>198</v>
      </c>
      <c r="Z1" s="21" t="s">
        <v>199</v>
      </c>
      <c r="AA1" s="21"/>
      <c r="AB1" s="21"/>
      <c r="AC1" s="21"/>
    </row>
    <row r="2" spans="1:29" x14ac:dyDescent="0.25">
      <c r="A2" s="21">
        <v>1</v>
      </c>
      <c r="B2" s="6">
        <v>0.86250000000000004</v>
      </c>
      <c r="C2" s="6">
        <v>0.997</v>
      </c>
      <c r="D2" s="6">
        <v>0.995</v>
      </c>
      <c r="E2" s="6">
        <v>0</v>
      </c>
      <c r="F2" s="6">
        <v>0</v>
      </c>
      <c r="G2" s="6">
        <v>0</v>
      </c>
      <c r="H2" s="6">
        <v>0</v>
      </c>
      <c r="I2" s="6">
        <v>0</v>
      </c>
      <c r="J2" s="6">
        <v>0</v>
      </c>
      <c r="K2" s="6">
        <v>0</v>
      </c>
      <c r="L2" s="6">
        <v>0</v>
      </c>
      <c r="M2" s="6">
        <v>0</v>
      </c>
      <c r="N2" s="6">
        <v>0</v>
      </c>
      <c r="O2" s="6">
        <v>0</v>
      </c>
      <c r="P2" s="6">
        <v>0</v>
      </c>
      <c r="Q2" s="6">
        <v>0</v>
      </c>
      <c r="R2" s="6">
        <v>0</v>
      </c>
      <c r="S2" s="6">
        <v>0</v>
      </c>
      <c r="T2" s="6">
        <v>0</v>
      </c>
      <c r="U2" s="6">
        <v>0</v>
      </c>
      <c r="V2" s="6">
        <v>0</v>
      </c>
      <c r="W2" s="6">
        <v>0</v>
      </c>
      <c r="X2" s="6">
        <v>0</v>
      </c>
      <c r="Y2" s="6">
        <v>0</v>
      </c>
      <c r="Z2" s="6">
        <v>0</v>
      </c>
    </row>
    <row r="3" spans="1:29" x14ac:dyDescent="0.25">
      <c r="A3" s="21">
        <v>2</v>
      </c>
      <c r="B3" s="6">
        <v>0.9</v>
      </c>
      <c r="C3" s="6">
        <v>0.997</v>
      </c>
      <c r="D3" s="6">
        <v>0.995</v>
      </c>
      <c r="E3" s="6">
        <v>0</v>
      </c>
      <c r="F3" s="6">
        <v>0</v>
      </c>
      <c r="G3" s="6">
        <v>0</v>
      </c>
      <c r="H3" s="6">
        <v>0</v>
      </c>
      <c r="I3" s="6">
        <v>0</v>
      </c>
      <c r="J3" s="6">
        <v>0</v>
      </c>
      <c r="K3" s="6">
        <v>0</v>
      </c>
      <c r="L3" s="6">
        <v>0</v>
      </c>
      <c r="M3" s="6">
        <v>0</v>
      </c>
      <c r="N3" s="6">
        <v>0.91</v>
      </c>
      <c r="O3" s="6">
        <v>0.91700000000000004</v>
      </c>
      <c r="P3" s="6">
        <v>8.3000000000000004E-2</v>
      </c>
      <c r="Q3" s="6">
        <v>0.8</v>
      </c>
      <c r="R3" s="6">
        <v>0</v>
      </c>
      <c r="S3" s="6">
        <v>0</v>
      </c>
      <c r="T3" s="6">
        <v>0</v>
      </c>
      <c r="U3" s="6">
        <v>0</v>
      </c>
      <c r="V3" s="6">
        <v>0</v>
      </c>
      <c r="W3" s="6">
        <v>0</v>
      </c>
      <c r="X3" s="6">
        <v>0.5</v>
      </c>
      <c r="Y3" s="6">
        <v>0.5</v>
      </c>
      <c r="Z3" s="6">
        <v>0</v>
      </c>
    </row>
    <row r="4" spans="1:29" x14ac:dyDescent="0.25">
      <c r="A4" s="21">
        <v>3</v>
      </c>
      <c r="B4" s="6">
        <v>0.99</v>
      </c>
      <c r="C4" s="6">
        <v>0.997</v>
      </c>
      <c r="D4" s="6">
        <v>0.995</v>
      </c>
      <c r="E4" s="6">
        <v>0</v>
      </c>
      <c r="F4" s="6">
        <v>0</v>
      </c>
      <c r="G4" s="6">
        <v>1</v>
      </c>
      <c r="H4" s="6">
        <v>0.90500000000000003</v>
      </c>
      <c r="I4" s="6">
        <v>0</v>
      </c>
      <c r="J4" s="6">
        <v>0</v>
      </c>
      <c r="K4" s="6">
        <v>0</v>
      </c>
      <c r="L4" s="6">
        <v>0</v>
      </c>
      <c r="M4" s="6">
        <v>0</v>
      </c>
      <c r="N4" s="6">
        <v>0.90500000000000003</v>
      </c>
      <c r="O4" s="6">
        <v>0.94499999999999995</v>
      </c>
      <c r="P4" s="6">
        <v>5.5E-2</v>
      </c>
      <c r="Q4" s="6">
        <v>0.91400000000000003</v>
      </c>
      <c r="R4" s="6">
        <v>0</v>
      </c>
      <c r="S4" s="6">
        <v>1</v>
      </c>
      <c r="T4" s="6">
        <v>0</v>
      </c>
      <c r="U4" s="6">
        <v>0</v>
      </c>
      <c r="V4" s="6">
        <v>0</v>
      </c>
      <c r="W4" s="6">
        <v>0</v>
      </c>
      <c r="X4" s="6">
        <v>0.5</v>
      </c>
      <c r="Y4" s="6">
        <v>0.5</v>
      </c>
      <c r="Z4" s="6">
        <v>0</v>
      </c>
    </row>
    <row r="5" spans="1:29" x14ac:dyDescent="0.25">
      <c r="A5" s="21">
        <v>4</v>
      </c>
      <c r="B5" s="6">
        <v>1</v>
      </c>
      <c r="C5" s="6">
        <v>1</v>
      </c>
      <c r="D5" s="6">
        <v>1</v>
      </c>
      <c r="E5" s="6">
        <v>0</v>
      </c>
      <c r="F5" s="6">
        <v>0</v>
      </c>
      <c r="G5" s="6">
        <v>1</v>
      </c>
      <c r="H5" s="6">
        <v>0.86</v>
      </c>
      <c r="I5" s="6">
        <v>0</v>
      </c>
      <c r="J5" s="6">
        <v>0</v>
      </c>
      <c r="K5" s="6">
        <v>0</v>
      </c>
      <c r="L5" s="6">
        <v>0</v>
      </c>
      <c r="M5" s="6">
        <v>0</v>
      </c>
      <c r="N5" s="6">
        <v>0.86</v>
      </c>
      <c r="O5" s="6">
        <v>0.95599999999999996</v>
      </c>
      <c r="P5" s="6">
        <v>4.3999999999999997E-2</v>
      </c>
      <c r="Q5" s="6">
        <v>0.93500000000000005</v>
      </c>
      <c r="R5" s="6">
        <v>0</v>
      </c>
      <c r="S5" s="6">
        <v>1</v>
      </c>
      <c r="T5" s="6">
        <v>0</v>
      </c>
      <c r="U5" s="6">
        <v>0</v>
      </c>
      <c r="V5" s="6">
        <v>0</v>
      </c>
      <c r="W5" s="6">
        <v>0</v>
      </c>
      <c r="X5" s="6">
        <v>0.5</v>
      </c>
      <c r="Y5" s="6">
        <v>0.5</v>
      </c>
      <c r="Z5" s="6">
        <v>0</v>
      </c>
    </row>
    <row r="6" spans="1:29" x14ac:dyDescent="0.25">
      <c r="A6" s="21">
        <v>5</v>
      </c>
      <c r="B6" s="6">
        <v>1</v>
      </c>
      <c r="C6" s="6">
        <v>1</v>
      </c>
      <c r="D6" s="6">
        <v>1</v>
      </c>
      <c r="E6" s="6">
        <v>0</v>
      </c>
      <c r="F6" s="6">
        <v>0</v>
      </c>
      <c r="G6" s="6">
        <v>1</v>
      </c>
      <c r="H6" s="6">
        <v>0.86</v>
      </c>
      <c r="I6" s="6">
        <v>0</v>
      </c>
      <c r="J6" s="6">
        <v>0</v>
      </c>
      <c r="K6" s="6">
        <v>0</v>
      </c>
      <c r="L6" s="6">
        <v>0</v>
      </c>
      <c r="M6" s="6">
        <v>0</v>
      </c>
      <c r="N6" s="6">
        <v>0.86</v>
      </c>
      <c r="O6" s="6">
        <v>0.96299999999999997</v>
      </c>
      <c r="P6" s="6">
        <v>3.6999999999999998E-2</v>
      </c>
      <c r="Q6" s="6">
        <v>0.95499999999999996</v>
      </c>
      <c r="R6" s="6">
        <v>0</v>
      </c>
      <c r="S6" s="6">
        <v>1</v>
      </c>
      <c r="T6" s="6">
        <v>0</v>
      </c>
      <c r="U6" s="6">
        <v>0</v>
      </c>
      <c r="V6" s="6">
        <v>0</v>
      </c>
      <c r="W6" s="6">
        <v>0</v>
      </c>
      <c r="X6" s="6">
        <v>1</v>
      </c>
      <c r="Y6" s="6">
        <v>0</v>
      </c>
      <c r="Z6" s="6">
        <v>0</v>
      </c>
    </row>
    <row r="7" spans="1:29" x14ac:dyDescent="0.25">
      <c r="A7" s="21">
        <v>6</v>
      </c>
      <c r="B7" s="6">
        <v>1</v>
      </c>
      <c r="C7" s="6">
        <v>1</v>
      </c>
      <c r="D7" s="6">
        <v>1</v>
      </c>
      <c r="E7" s="6">
        <v>0</v>
      </c>
      <c r="F7" s="6">
        <v>0</v>
      </c>
      <c r="G7" s="6">
        <v>1</v>
      </c>
      <c r="H7" s="6">
        <v>0.86</v>
      </c>
      <c r="I7" s="6">
        <v>0</v>
      </c>
      <c r="J7" s="6">
        <v>0</v>
      </c>
      <c r="K7" s="6">
        <v>0</v>
      </c>
      <c r="L7" s="6">
        <v>0</v>
      </c>
      <c r="M7" s="6">
        <v>0</v>
      </c>
      <c r="N7" s="6">
        <v>0.86</v>
      </c>
      <c r="O7" s="6">
        <v>0.97599999999999998</v>
      </c>
      <c r="P7" s="6">
        <v>2.4E-2</v>
      </c>
      <c r="Q7" s="6">
        <v>0.92600000000000005</v>
      </c>
      <c r="R7" s="6">
        <v>0</v>
      </c>
      <c r="S7" s="6">
        <v>1</v>
      </c>
      <c r="T7" s="6">
        <v>0</v>
      </c>
      <c r="U7" s="6">
        <v>0</v>
      </c>
      <c r="V7" s="6">
        <v>0</v>
      </c>
      <c r="W7" s="6">
        <v>0</v>
      </c>
      <c r="X7" s="6">
        <v>1</v>
      </c>
      <c r="Y7" s="6">
        <v>0</v>
      </c>
      <c r="Z7" s="6">
        <v>0</v>
      </c>
    </row>
    <row r="8" spans="1:29" x14ac:dyDescent="0.25">
      <c r="A8" s="21">
        <v>7</v>
      </c>
      <c r="B8" s="6">
        <v>1</v>
      </c>
      <c r="C8" s="6">
        <v>1</v>
      </c>
      <c r="D8" s="6">
        <v>1</v>
      </c>
      <c r="E8" s="6">
        <v>0</v>
      </c>
      <c r="F8" s="6">
        <v>0</v>
      </c>
      <c r="G8" s="6">
        <v>1</v>
      </c>
      <c r="H8" s="6">
        <v>0.86</v>
      </c>
      <c r="I8" s="6">
        <v>0</v>
      </c>
      <c r="J8" s="6">
        <v>0</v>
      </c>
      <c r="K8" s="6">
        <v>0</v>
      </c>
      <c r="L8" s="6">
        <v>0</v>
      </c>
      <c r="M8" s="6">
        <v>0</v>
      </c>
      <c r="N8" s="6">
        <v>0.86</v>
      </c>
      <c r="O8" s="6">
        <v>0.97199999999999998</v>
      </c>
      <c r="P8" s="6">
        <v>2.8000000000000001E-2</v>
      </c>
      <c r="Q8" s="6">
        <v>0.94599999999999995</v>
      </c>
      <c r="R8" s="6">
        <v>0</v>
      </c>
      <c r="S8" s="6">
        <v>1</v>
      </c>
      <c r="T8" s="6">
        <v>0</v>
      </c>
      <c r="U8" s="6">
        <v>0</v>
      </c>
      <c r="V8" s="6">
        <v>0</v>
      </c>
      <c r="W8" s="6">
        <v>0</v>
      </c>
      <c r="X8" s="6">
        <v>1</v>
      </c>
      <c r="Y8" s="6">
        <v>0</v>
      </c>
      <c r="Z8" s="6">
        <v>0</v>
      </c>
    </row>
    <row r="9" spans="1:29" x14ac:dyDescent="0.25">
      <c r="A9" s="21">
        <v>8</v>
      </c>
      <c r="B9" s="6">
        <v>1</v>
      </c>
      <c r="C9" s="6">
        <v>1</v>
      </c>
      <c r="D9" s="6">
        <v>1</v>
      </c>
      <c r="E9" s="6">
        <v>0</v>
      </c>
      <c r="F9" s="6">
        <v>0</v>
      </c>
      <c r="G9" s="6">
        <v>1</v>
      </c>
      <c r="H9" s="6">
        <v>0.86</v>
      </c>
      <c r="I9" s="6">
        <v>0</v>
      </c>
      <c r="J9" s="6">
        <v>0</v>
      </c>
      <c r="K9" s="6">
        <v>0</v>
      </c>
      <c r="L9" s="6">
        <v>0</v>
      </c>
      <c r="M9" s="6">
        <v>0</v>
      </c>
      <c r="N9" s="6">
        <v>0.86</v>
      </c>
      <c r="O9" s="6">
        <v>0.97699999999999998</v>
      </c>
      <c r="P9" s="6">
        <v>2.3E-2</v>
      </c>
      <c r="Q9" s="6">
        <v>0.94499999999999995</v>
      </c>
      <c r="R9" s="6">
        <v>0</v>
      </c>
      <c r="S9" s="6">
        <v>1</v>
      </c>
      <c r="T9" s="6">
        <v>0</v>
      </c>
      <c r="U9" s="6">
        <v>0</v>
      </c>
      <c r="V9" s="6">
        <v>0</v>
      </c>
      <c r="W9" s="6">
        <v>0</v>
      </c>
      <c r="X9" s="6">
        <v>1</v>
      </c>
      <c r="Y9" s="6">
        <v>0</v>
      </c>
      <c r="Z9" s="6">
        <v>0</v>
      </c>
    </row>
    <row r="10" spans="1:29" x14ac:dyDescent="0.25">
      <c r="A10" s="21">
        <v>9</v>
      </c>
      <c r="B10" s="6">
        <v>1</v>
      </c>
      <c r="C10" s="6">
        <v>1</v>
      </c>
      <c r="D10" s="6">
        <v>1</v>
      </c>
      <c r="E10" s="6">
        <v>0</v>
      </c>
      <c r="F10" s="6">
        <v>0</v>
      </c>
      <c r="G10" s="6">
        <v>1</v>
      </c>
      <c r="H10" s="6">
        <v>0.86</v>
      </c>
      <c r="I10" s="6">
        <v>0</v>
      </c>
      <c r="J10" s="6">
        <v>0</v>
      </c>
      <c r="K10" s="6">
        <v>0</v>
      </c>
      <c r="L10" s="6">
        <v>0</v>
      </c>
      <c r="M10" s="6">
        <v>0</v>
      </c>
      <c r="N10" s="6">
        <v>0.86</v>
      </c>
      <c r="O10" s="6">
        <v>0.98899999999999999</v>
      </c>
      <c r="P10" s="6">
        <v>1.0999999999999999E-2</v>
      </c>
      <c r="Q10" s="6">
        <v>0.97099999999999997</v>
      </c>
      <c r="R10" s="6">
        <v>0</v>
      </c>
      <c r="S10" s="6">
        <v>1</v>
      </c>
      <c r="T10" s="6">
        <v>0</v>
      </c>
      <c r="U10" s="6">
        <v>0</v>
      </c>
      <c r="V10" s="6">
        <v>0</v>
      </c>
      <c r="W10" s="6">
        <v>0</v>
      </c>
      <c r="X10" s="6">
        <v>1</v>
      </c>
      <c r="Y10" s="6">
        <v>0</v>
      </c>
      <c r="Z10" s="6">
        <v>0</v>
      </c>
    </row>
    <row r="11" spans="1:29" x14ac:dyDescent="0.25">
      <c r="A11" s="21">
        <v>10</v>
      </c>
      <c r="B11" s="6">
        <v>1</v>
      </c>
      <c r="C11" s="6">
        <v>1</v>
      </c>
      <c r="D11" s="6">
        <v>1</v>
      </c>
      <c r="E11" s="6">
        <v>0</v>
      </c>
      <c r="F11" s="6">
        <v>0</v>
      </c>
      <c r="G11" s="6">
        <v>1</v>
      </c>
      <c r="H11" s="6">
        <v>0.86</v>
      </c>
      <c r="I11" s="6">
        <v>0</v>
      </c>
      <c r="J11" s="6">
        <v>0</v>
      </c>
      <c r="K11" s="6">
        <v>0</v>
      </c>
      <c r="L11" s="6">
        <v>0</v>
      </c>
      <c r="M11" s="6">
        <v>0</v>
      </c>
      <c r="N11" s="6">
        <v>0.86</v>
      </c>
      <c r="O11" s="6">
        <v>0.98699999999999999</v>
      </c>
      <c r="P11" s="6">
        <v>1.2999999999999999E-2</v>
      </c>
      <c r="Q11" s="6">
        <v>0.98199999999999998</v>
      </c>
      <c r="R11" s="6">
        <v>0</v>
      </c>
      <c r="S11" s="6">
        <v>1</v>
      </c>
      <c r="T11" s="6">
        <v>0</v>
      </c>
      <c r="U11" s="6">
        <v>0</v>
      </c>
      <c r="V11" s="6">
        <v>0</v>
      </c>
      <c r="W11" s="6">
        <v>0</v>
      </c>
      <c r="X11" s="6">
        <v>1</v>
      </c>
      <c r="Y11" s="6">
        <v>0</v>
      </c>
      <c r="Z11" s="6">
        <v>0</v>
      </c>
    </row>
    <row r="12" spans="1:29" x14ac:dyDescent="0.25">
      <c r="A12" s="21">
        <v>11</v>
      </c>
      <c r="B12" s="6">
        <v>1</v>
      </c>
      <c r="C12" s="6">
        <v>1</v>
      </c>
      <c r="D12" s="6">
        <v>1</v>
      </c>
      <c r="E12" s="6">
        <v>0</v>
      </c>
      <c r="F12" s="6">
        <v>0</v>
      </c>
      <c r="G12" s="6">
        <v>1</v>
      </c>
      <c r="H12" s="6">
        <v>0.86</v>
      </c>
      <c r="I12" s="6">
        <v>0</v>
      </c>
      <c r="J12" s="6">
        <v>0</v>
      </c>
      <c r="K12" s="6">
        <v>0</v>
      </c>
      <c r="L12" s="6">
        <v>0</v>
      </c>
      <c r="M12" s="6">
        <v>0</v>
      </c>
      <c r="N12" s="6">
        <v>0.86</v>
      </c>
      <c r="O12" s="6">
        <v>0.98799999999999999</v>
      </c>
      <c r="P12" s="6">
        <v>1.2E-2</v>
      </c>
      <c r="Q12" s="6">
        <v>0.97899999999999998</v>
      </c>
      <c r="R12" s="6">
        <v>0</v>
      </c>
      <c r="S12" s="6">
        <v>1</v>
      </c>
      <c r="T12" s="6">
        <v>0</v>
      </c>
      <c r="U12" s="6">
        <v>0</v>
      </c>
      <c r="V12" s="6">
        <v>0</v>
      </c>
      <c r="W12" s="6">
        <v>0</v>
      </c>
      <c r="X12" s="6">
        <v>1</v>
      </c>
      <c r="Y12" s="6">
        <v>0</v>
      </c>
      <c r="Z12" s="6">
        <v>0</v>
      </c>
    </row>
    <row r="13" spans="1:29" x14ac:dyDescent="0.25">
      <c r="A13" s="21">
        <v>12</v>
      </c>
      <c r="B13" s="6">
        <v>1</v>
      </c>
      <c r="C13" s="6">
        <v>1</v>
      </c>
      <c r="D13" s="6">
        <v>1</v>
      </c>
      <c r="E13" s="6">
        <v>0</v>
      </c>
      <c r="F13" s="6">
        <v>0</v>
      </c>
      <c r="G13" s="6">
        <v>1</v>
      </c>
      <c r="H13" s="6">
        <v>0.86</v>
      </c>
      <c r="I13" s="6">
        <v>0</v>
      </c>
      <c r="J13" s="6">
        <v>0</v>
      </c>
      <c r="K13" s="6">
        <v>0</v>
      </c>
      <c r="L13" s="6">
        <v>0</v>
      </c>
      <c r="M13" s="6">
        <v>0</v>
      </c>
      <c r="N13" s="6">
        <v>0.86</v>
      </c>
      <c r="O13" s="6">
        <v>0.99199999999999999</v>
      </c>
      <c r="P13" s="6">
        <v>8.0000000000000002E-3</v>
      </c>
      <c r="Q13" s="6">
        <v>0.97899999999999998</v>
      </c>
      <c r="R13" s="6">
        <v>0</v>
      </c>
      <c r="S13" s="6">
        <v>1</v>
      </c>
      <c r="T13" s="6">
        <v>0</v>
      </c>
      <c r="U13" s="6">
        <v>0</v>
      </c>
      <c r="V13" s="6">
        <v>0</v>
      </c>
      <c r="W13" s="6">
        <v>0</v>
      </c>
      <c r="X13" s="6">
        <v>1</v>
      </c>
      <c r="Y13" s="6">
        <v>0</v>
      </c>
      <c r="Z13" s="6">
        <v>0</v>
      </c>
    </row>
    <row r="14" spans="1:29" x14ac:dyDescent="0.25">
      <c r="A14" s="21">
        <v>13</v>
      </c>
      <c r="B14" s="6">
        <v>1</v>
      </c>
      <c r="C14" s="6">
        <v>1</v>
      </c>
      <c r="D14" s="6">
        <v>1</v>
      </c>
      <c r="E14" s="6">
        <v>0</v>
      </c>
      <c r="F14" s="6">
        <v>0</v>
      </c>
      <c r="G14" s="6">
        <v>1</v>
      </c>
      <c r="H14" s="6">
        <v>0.86</v>
      </c>
      <c r="I14" s="6">
        <v>0</v>
      </c>
      <c r="J14" s="6">
        <v>0</v>
      </c>
      <c r="K14" s="6">
        <v>0</v>
      </c>
      <c r="L14" s="6">
        <v>0</v>
      </c>
      <c r="M14" s="6">
        <v>0</v>
      </c>
      <c r="N14" s="6">
        <v>0.86</v>
      </c>
      <c r="O14" s="6">
        <v>0.99199999999999999</v>
      </c>
      <c r="P14" s="6">
        <v>8.0000000000000002E-3</v>
      </c>
      <c r="Q14" s="6">
        <v>0.97899999999999998</v>
      </c>
      <c r="R14" s="6">
        <v>0</v>
      </c>
      <c r="S14" s="6">
        <v>1</v>
      </c>
      <c r="T14" s="6">
        <v>0</v>
      </c>
      <c r="U14" s="6">
        <v>0</v>
      </c>
      <c r="V14" s="6">
        <v>0</v>
      </c>
      <c r="W14" s="6">
        <v>0</v>
      </c>
      <c r="X14" s="6">
        <v>1</v>
      </c>
      <c r="Y14" s="6">
        <v>0</v>
      </c>
      <c r="Z14" s="6">
        <v>0</v>
      </c>
    </row>
    <row r="15" spans="1:29" x14ac:dyDescent="0.25">
      <c r="A15" s="21">
        <v>14</v>
      </c>
      <c r="B15" s="6">
        <v>1</v>
      </c>
      <c r="C15" s="6">
        <v>1</v>
      </c>
      <c r="D15" s="6">
        <v>1</v>
      </c>
      <c r="E15" s="6">
        <v>0</v>
      </c>
      <c r="F15" s="6">
        <v>0</v>
      </c>
      <c r="G15" s="6">
        <v>1</v>
      </c>
      <c r="H15" s="6">
        <v>0.86</v>
      </c>
      <c r="I15" s="6">
        <v>0</v>
      </c>
      <c r="J15" s="6">
        <v>0</v>
      </c>
      <c r="K15" s="6">
        <v>0</v>
      </c>
      <c r="L15" s="6">
        <v>0</v>
      </c>
      <c r="M15" s="6">
        <v>0</v>
      </c>
      <c r="N15" s="6">
        <v>0.86</v>
      </c>
      <c r="O15" s="6">
        <v>0.99199999999999999</v>
      </c>
      <c r="P15" s="6">
        <v>8.0000000000000002E-3</v>
      </c>
      <c r="Q15" s="6">
        <v>0.97899999999999998</v>
      </c>
      <c r="R15" s="6">
        <v>0</v>
      </c>
      <c r="S15" s="6">
        <v>1</v>
      </c>
      <c r="T15" s="6">
        <v>0</v>
      </c>
      <c r="U15" s="6">
        <v>0</v>
      </c>
      <c r="V15" s="6">
        <v>0</v>
      </c>
      <c r="W15" s="6">
        <v>0</v>
      </c>
      <c r="X15" s="6">
        <v>1</v>
      </c>
      <c r="Y15" s="6">
        <v>0</v>
      </c>
      <c r="Z15" s="6">
        <v>0</v>
      </c>
    </row>
    <row r="16" spans="1:29" x14ac:dyDescent="0.25">
      <c r="A16" s="21">
        <v>15</v>
      </c>
      <c r="B16" s="6">
        <v>1</v>
      </c>
      <c r="C16" s="6">
        <v>1</v>
      </c>
      <c r="D16" s="6">
        <v>1</v>
      </c>
      <c r="E16" s="6">
        <v>0</v>
      </c>
      <c r="F16" s="6">
        <v>0</v>
      </c>
      <c r="G16" s="6">
        <v>1</v>
      </c>
      <c r="H16" s="6">
        <v>0.86</v>
      </c>
      <c r="I16" s="6">
        <v>0</v>
      </c>
      <c r="J16" s="6">
        <v>0</v>
      </c>
      <c r="K16" s="6">
        <v>0</v>
      </c>
      <c r="L16" s="6">
        <v>0</v>
      </c>
      <c r="M16" s="6">
        <v>0</v>
      </c>
      <c r="N16" s="6">
        <v>0.86</v>
      </c>
      <c r="O16" s="6">
        <v>0.99199999999999999</v>
      </c>
      <c r="P16" s="6">
        <v>8.0000000000000002E-3</v>
      </c>
      <c r="Q16" s="6">
        <v>0.97899999999999998</v>
      </c>
      <c r="R16" s="6">
        <v>0</v>
      </c>
      <c r="S16" s="6">
        <v>1</v>
      </c>
      <c r="T16" s="6">
        <v>0</v>
      </c>
      <c r="U16" s="6">
        <v>0</v>
      </c>
      <c r="V16" s="6">
        <v>0</v>
      </c>
      <c r="W16" s="6">
        <v>0</v>
      </c>
      <c r="X16" s="6">
        <v>1</v>
      </c>
      <c r="Y16" s="6">
        <v>0</v>
      </c>
      <c r="Z16" s="6">
        <v>0</v>
      </c>
    </row>
    <row r="17" spans="1:26" x14ac:dyDescent="0.25">
      <c r="A17" s="21">
        <v>16</v>
      </c>
      <c r="B17" s="6">
        <v>1</v>
      </c>
      <c r="C17" s="6">
        <v>1</v>
      </c>
      <c r="D17" s="6">
        <v>1</v>
      </c>
      <c r="E17" s="6">
        <v>0</v>
      </c>
      <c r="F17" s="6">
        <v>0</v>
      </c>
      <c r="G17" s="6">
        <v>1</v>
      </c>
      <c r="H17" s="6">
        <v>0.86</v>
      </c>
      <c r="I17" s="6">
        <v>0</v>
      </c>
      <c r="J17" s="6">
        <v>0</v>
      </c>
      <c r="K17" s="6">
        <v>0</v>
      </c>
      <c r="L17" s="6">
        <v>0</v>
      </c>
      <c r="M17" s="6">
        <v>0</v>
      </c>
      <c r="N17" s="6">
        <v>0.86</v>
      </c>
      <c r="O17" s="6">
        <v>0.99199999999999999</v>
      </c>
      <c r="P17" s="6">
        <v>8.0000000000000002E-3</v>
      </c>
      <c r="Q17" s="6">
        <v>0.97899999999999998</v>
      </c>
      <c r="R17" s="6">
        <v>0</v>
      </c>
      <c r="S17" s="6">
        <v>1</v>
      </c>
      <c r="T17" s="6">
        <v>0</v>
      </c>
      <c r="U17" s="6">
        <v>0</v>
      </c>
      <c r="V17" s="6">
        <v>0</v>
      </c>
      <c r="W17" s="6">
        <v>0</v>
      </c>
      <c r="X17" s="6">
        <v>1</v>
      </c>
      <c r="Y17" s="6">
        <v>0</v>
      </c>
      <c r="Z17" s="6">
        <v>0</v>
      </c>
    </row>
    <row r="18" spans="1:26" x14ac:dyDescent="0.25">
      <c r="A18" s="21">
        <v>17</v>
      </c>
      <c r="B18" s="6">
        <v>1</v>
      </c>
      <c r="C18" s="6">
        <v>1</v>
      </c>
      <c r="D18" s="6">
        <v>1</v>
      </c>
      <c r="E18" s="6">
        <v>0</v>
      </c>
      <c r="F18" s="6">
        <v>0</v>
      </c>
      <c r="G18" s="6">
        <v>1</v>
      </c>
      <c r="H18" s="6">
        <v>0.86</v>
      </c>
      <c r="I18" s="6">
        <v>0</v>
      </c>
      <c r="J18" s="6">
        <v>0</v>
      </c>
      <c r="K18" s="6">
        <v>0</v>
      </c>
      <c r="L18" s="6">
        <v>0</v>
      </c>
      <c r="M18" s="6">
        <v>0</v>
      </c>
      <c r="N18" s="6">
        <v>0.86</v>
      </c>
      <c r="O18" s="6">
        <v>0.99199999999999999</v>
      </c>
      <c r="P18" s="6">
        <v>8.0000000000000002E-3</v>
      </c>
      <c r="Q18" s="6">
        <v>0.97899999999999998</v>
      </c>
      <c r="R18" s="6">
        <v>0</v>
      </c>
      <c r="S18" s="6">
        <v>1</v>
      </c>
      <c r="T18" s="6">
        <v>0</v>
      </c>
      <c r="U18" s="6">
        <v>0</v>
      </c>
      <c r="V18" s="6">
        <v>0</v>
      </c>
      <c r="W18" s="6">
        <v>0</v>
      </c>
      <c r="X18" s="6">
        <v>1</v>
      </c>
      <c r="Y18" s="6">
        <v>0</v>
      </c>
      <c r="Z18" s="6">
        <v>0</v>
      </c>
    </row>
    <row r="19" spans="1:26" x14ac:dyDescent="0.25">
      <c r="A19" s="21">
        <v>18</v>
      </c>
      <c r="B19" s="6">
        <v>1</v>
      </c>
      <c r="C19" s="6">
        <v>1</v>
      </c>
      <c r="D19" s="6">
        <v>1</v>
      </c>
      <c r="E19" s="6">
        <v>0</v>
      </c>
      <c r="F19" s="6">
        <v>0</v>
      </c>
      <c r="G19" s="6">
        <v>1</v>
      </c>
      <c r="H19" s="6">
        <v>0.86</v>
      </c>
      <c r="I19" s="6">
        <v>0</v>
      </c>
      <c r="J19" s="6">
        <v>0</v>
      </c>
      <c r="K19" s="6">
        <v>0</v>
      </c>
      <c r="L19" s="6">
        <v>0</v>
      </c>
      <c r="M19" s="6">
        <v>0</v>
      </c>
      <c r="N19" s="6">
        <v>0.86</v>
      </c>
      <c r="O19" s="6">
        <v>0.99199999999999999</v>
      </c>
      <c r="P19" s="6">
        <v>8.0000000000000002E-3</v>
      </c>
      <c r="Q19" s="6">
        <v>0.97899999999999998</v>
      </c>
      <c r="R19" s="6">
        <v>0</v>
      </c>
      <c r="S19" s="6">
        <v>1</v>
      </c>
      <c r="T19" s="6">
        <v>0</v>
      </c>
      <c r="U19" s="6">
        <v>0</v>
      </c>
      <c r="V19" s="6">
        <v>0</v>
      </c>
      <c r="W19" s="6">
        <v>0</v>
      </c>
      <c r="X19" s="6">
        <v>1</v>
      </c>
      <c r="Y19" s="6">
        <v>0</v>
      </c>
      <c r="Z19" s="6">
        <v>0</v>
      </c>
    </row>
    <row r="20" spans="1:26" x14ac:dyDescent="0.25">
      <c r="A20" s="21"/>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21"/>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21"/>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21"/>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21"/>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21"/>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21"/>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21"/>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21"/>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21"/>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21"/>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21"/>
      <c r="B31" s="6"/>
      <c r="C31" s="6"/>
      <c r="D31" s="6"/>
      <c r="E31" s="6"/>
      <c r="F31" s="6"/>
      <c r="G31" s="6"/>
      <c r="H31" s="6"/>
      <c r="I31" s="6"/>
      <c r="J31" s="6"/>
      <c r="K31" s="6"/>
      <c r="L31" s="6"/>
      <c r="M31" s="6"/>
      <c r="N31" s="6"/>
      <c r="O31" s="6"/>
      <c r="P31" s="6"/>
      <c r="Q31" s="6"/>
      <c r="R31" s="6"/>
      <c r="S31" s="6"/>
      <c r="T31" s="6"/>
      <c r="U31" s="6"/>
      <c r="V31" s="6"/>
      <c r="W31" s="6"/>
      <c r="X31" s="6"/>
      <c r="Y31" s="6"/>
      <c r="Z31" s="6"/>
    </row>
  </sheetData>
  <sheetProtection selectLockedCells="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31"/>
  <sheetViews>
    <sheetView workbookViewId="0">
      <selection activeCell="G21" sqref="G21"/>
    </sheetView>
  </sheetViews>
  <sheetFormatPr defaultRowHeight="15" x14ac:dyDescent="0.25"/>
  <sheetData>
    <row r="1" spans="1:28" x14ac:dyDescent="0.25">
      <c r="A1" s="21" t="s">
        <v>22</v>
      </c>
      <c r="B1" s="22" t="s">
        <v>0</v>
      </c>
      <c r="C1" s="21" t="s">
        <v>1</v>
      </c>
      <c r="D1" s="21" t="s">
        <v>2</v>
      </c>
      <c r="E1" s="21" t="s">
        <v>3</v>
      </c>
      <c r="F1" s="21" t="s">
        <v>4</v>
      </c>
      <c r="G1" s="21" t="s">
        <v>5</v>
      </c>
      <c r="H1" s="21" t="s">
        <v>6</v>
      </c>
      <c r="I1" s="21" t="s">
        <v>7</v>
      </c>
      <c r="J1" s="21" t="s">
        <v>8</v>
      </c>
      <c r="K1" s="21" t="s">
        <v>9</v>
      </c>
      <c r="L1" s="21" t="s">
        <v>10</v>
      </c>
      <c r="M1" s="21" t="s">
        <v>11</v>
      </c>
      <c r="N1" s="21" t="s">
        <v>12</v>
      </c>
      <c r="O1" s="21" t="s">
        <v>13</v>
      </c>
      <c r="P1" s="21" t="s">
        <v>14</v>
      </c>
      <c r="Q1" s="21" t="s">
        <v>15</v>
      </c>
      <c r="R1" s="21" t="s">
        <v>16</v>
      </c>
      <c r="S1" s="21" t="s">
        <v>17</v>
      </c>
      <c r="T1" s="21" t="s">
        <v>18</v>
      </c>
      <c r="U1" s="21" t="s">
        <v>19</v>
      </c>
      <c r="V1" s="21" t="s">
        <v>20</v>
      </c>
      <c r="W1" s="21" t="s">
        <v>21</v>
      </c>
      <c r="X1" s="21" t="s">
        <v>197</v>
      </c>
      <c r="Y1" s="21" t="s">
        <v>198</v>
      </c>
      <c r="Z1" s="21" t="s">
        <v>199</v>
      </c>
      <c r="AA1" s="21"/>
      <c r="AB1" s="21"/>
    </row>
    <row r="2" spans="1:28" x14ac:dyDescent="0.25">
      <c r="A2" s="21">
        <v>1</v>
      </c>
      <c r="B2" s="6">
        <v>0.01</v>
      </c>
      <c r="C2" s="6">
        <v>0</v>
      </c>
      <c r="D2" s="6">
        <v>0</v>
      </c>
      <c r="E2" s="6">
        <v>0</v>
      </c>
      <c r="F2" s="6">
        <v>0</v>
      </c>
      <c r="G2" s="6">
        <v>0</v>
      </c>
      <c r="H2" s="6">
        <v>0</v>
      </c>
      <c r="I2" s="6">
        <v>0</v>
      </c>
      <c r="J2" s="6">
        <v>0</v>
      </c>
      <c r="K2" s="6">
        <v>0</v>
      </c>
      <c r="L2" s="6">
        <v>0</v>
      </c>
      <c r="M2" s="6">
        <v>0</v>
      </c>
      <c r="N2" s="6">
        <v>0.01</v>
      </c>
      <c r="O2" s="6">
        <v>0</v>
      </c>
      <c r="P2" s="6">
        <v>0</v>
      </c>
      <c r="Q2" s="6">
        <v>0</v>
      </c>
      <c r="R2" s="6">
        <v>0</v>
      </c>
      <c r="S2" s="6">
        <v>0</v>
      </c>
      <c r="T2" s="6">
        <v>0</v>
      </c>
      <c r="U2" s="6">
        <v>0</v>
      </c>
      <c r="V2" s="6">
        <v>0</v>
      </c>
      <c r="W2" s="6">
        <v>0</v>
      </c>
      <c r="X2" s="6">
        <v>0</v>
      </c>
      <c r="Y2" s="6">
        <v>0</v>
      </c>
      <c r="Z2" s="6">
        <v>0</v>
      </c>
    </row>
    <row r="3" spans="1:28" x14ac:dyDescent="0.25">
      <c r="A3" s="21">
        <v>2</v>
      </c>
      <c r="B3" s="6">
        <v>0.01</v>
      </c>
      <c r="C3" s="6">
        <v>0</v>
      </c>
      <c r="D3" s="6">
        <v>0</v>
      </c>
      <c r="E3" s="6">
        <v>0</v>
      </c>
      <c r="F3" s="6">
        <v>0</v>
      </c>
      <c r="G3" s="6">
        <v>0</v>
      </c>
      <c r="H3" s="6">
        <v>0</v>
      </c>
      <c r="I3" s="6">
        <v>0</v>
      </c>
      <c r="J3" s="6">
        <v>0</v>
      </c>
      <c r="K3" s="6">
        <v>0</v>
      </c>
      <c r="L3" s="6">
        <v>0</v>
      </c>
      <c r="M3" s="6">
        <v>0</v>
      </c>
      <c r="N3" s="6">
        <v>0.01</v>
      </c>
      <c r="O3" s="6">
        <v>0</v>
      </c>
      <c r="P3" s="6">
        <v>0</v>
      </c>
      <c r="Q3" s="6">
        <v>0</v>
      </c>
      <c r="R3" s="6">
        <v>0</v>
      </c>
      <c r="S3" s="6">
        <v>0</v>
      </c>
      <c r="T3" s="6">
        <v>0</v>
      </c>
      <c r="U3" s="6">
        <v>0</v>
      </c>
      <c r="V3" s="6">
        <v>0</v>
      </c>
      <c r="W3" s="6">
        <v>0</v>
      </c>
      <c r="X3" s="6">
        <v>0</v>
      </c>
      <c r="Y3" s="6">
        <v>0</v>
      </c>
      <c r="Z3" s="6">
        <v>0</v>
      </c>
    </row>
    <row r="4" spans="1:28" x14ac:dyDescent="0.25">
      <c r="A4" s="21">
        <v>3</v>
      </c>
      <c r="B4" s="6">
        <v>0.01</v>
      </c>
      <c r="C4" s="6">
        <v>0</v>
      </c>
      <c r="D4" s="6">
        <v>0</v>
      </c>
      <c r="E4" s="6">
        <v>0</v>
      </c>
      <c r="F4" s="6">
        <v>0</v>
      </c>
      <c r="G4" s="6">
        <v>0</v>
      </c>
      <c r="H4" s="6">
        <v>0</v>
      </c>
      <c r="I4" s="6">
        <v>0</v>
      </c>
      <c r="J4" s="6">
        <v>0</v>
      </c>
      <c r="K4" s="6">
        <v>0</v>
      </c>
      <c r="L4" s="6">
        <v>0</v>
      </c>
      <c r="M4" s="6">
        <v>0</v>
      </c>
      <c r="N4" s="6">
        <v>0.01</v>
      </c>
      <c r="O4" s="6">
        <v>0</v>
      </c>
      <c r="P4" s="6">
        <v>0</v>
      </c>
      <c r="Q4" s="6">
        <v>0</v>
      </c>
      <c r="R4" s="6">
        <v>0</v>
      </c>
      <c r="S4" s="6">
        <v>0</v>
      </c>
      <c r="T4" s="6">
        <v>0</v>
      </c>
      <c r="U4" s="6">
        <v>0</v>
      </c>
      <c r="V4" s="6">
        <v>0</v>
      </c>
      <c r="W4" s="6">
        <v>0</v>
      </c>
      <c r="X4" s="6">
        <v>0</v>
      </c>
      <c r="Y4" s="6">
        <v>0</v>
      </c>
      <c r="Z4" s="6">
        <v>0</v>
      </c>
    </row>
    <row r="5" spans="1:28" x14ac:dyDescent="0.25">
      <c r="A5" s="21">
        <v>4</v>
      </c>
      <c r="B5" s="6">
        <v>0.01</v>
      </c>
      <c r="C5" s="6">
        <v>0</v>
      </c>
      <c r="D5" s="6">
        <v>0</v>
      </c>
      <c r="E5" s="6">
        <v>0</v>
      </c>
      <c r="F5" s="6">
        <v>0</v>
      </c>
      <c r="G5" s="6">
        <v>0</v>
      </c>
      <c r="H5" s="6">
        <v>0</v>
      </c>
      <c r="I5" s="6">
        <v>0</v>
      </c>
      <c r="J5" s="6">
        <v>0</v>
      </c>
      <c r="K5" s="6">
        <v>0</v>
      </c>
      <c r="L5" s="6">
        <v>0</v>
      </c>
      <c r="M5" s="6">
        <v>0</v>
      </c>
      <c r="N5" s="6">
        <v>0.01</v>
      </c>
      <c r="O5" s="6">
        <v>0</v>
      </c>
      <c r="P5" s="6">
        <v>0</v>
      </c>
      <c r="Q5" s="6">
        <v>0</v>
      </c>
      <c r="R5" s="6">
        <v>0</v>
      </c>
      <c r="S5" s="6">
        <v>0</v>
      </c>
      <c r="T5" s="6">
        <v>0</v>
      </c>
      <c r="U5" s="6">
        <v>0</v>
      </c>
      <c r="V5" s="6">
        <v>0</v>
      </c>
      <c r="W5" s="6">
        <v>0</v>
      </c>
      <c r="X5" s="6">
        <v>0</v>
      </c>
      <c r="Y5" s="6">
        <v>0</v>
      </c>
      <c r="Z5" s="6">
        <v>0</v>
      </c>
    </row>
    <row r="6" spans="1:28" x14ac:dyDescent="0.25">
      <c r="A6" s="21">
        <v>5</v>
      </c>
      <c r="B6" s="6">
        <v>0.01</v>
      </c>
      <c r="C6" s="6">
        <v>0</v>
      </c>
      <c r="D6" s="6">
        <v>0</v>
      </c>
      <c r="E6" s="6">
        <v>0</v>
      </c>
      <c r="F6" s="6">
        <v>0</v>
      </c>
      <c r="G6" s="6">
        <v>0</v>
      </c>
      <c r="H6" s="6">
        <v>0</v>
      </c>
      <c r="I6" s="6">
        <v>0</v>
      </c>
      <c r="J6" s="6">
        <v>0</v>
      </c>
      <c r="K6" s="6">
        <v>0</v>
      </c>
      <c r="L6" s="6">
        <v>0</v>
      </c>
      <c r="M6" s="6">
        <v>0</v>
      </c>
      <c r="N6" s="6">
        <v>0.01</v>
      </c>
      <c r="O6" s="6">
        <v>0</v>
      </c>
      <c r="P6" s="6">
        <v>0</v>
      </c>
      <c r="Q6" s="6">
        <v>0</v>
      </c>
      <c r="R6" s="6">
        <v>0</v>
      </c>
      <c r="S6" s="6">
        <v>0</v>
      </c>
      <c r="T6" s="6">
        <v>0</v>
      </c>
      <c r="U6" s="6">
        <v>0</v>
      </c>
      <c r="V6" s="6">
        <v>0</v>
      </c>
      <c r="W6" s="6">
        <v>0</v>
      </c>
      <c r="X6" s="6">
        <v>0</v>
      </c>
      <c r="Y6" s="6">
        <v>0</v>
      </c>
      <c r="Z6" s="6">
        <v>0</v>
      </c>
    </row>
    <row r="7" spans="1:28" x14ac:dyDescent="0.25">
      <c r="A7" s="21">
        <v>6</v>
      </c>
      <c r="B7" s="6">
        <v>0.01</v>
      </c>
      <c r="C7" s="6">
        <v>0</v>
      </c>
      <c r="D7" s="6">
        <v>0</v>
      </c>
      <c r="E7" s="6">
        <v>0</v>
      </c>
      <c r="F7" s="6">
        <v>0</v>
      </c>
      <c r="G7" s="6">
        <v>0</v>
      </c>
      <c r="H7" s="6">
        <v>0</v>
      </c>
      <c r="I7" s="6">
        <v>0</v>
      </c>
      <c r="J7" s="6">
        <v>0</v>
      </c>
      <c r="K7" s="6">
        <v>0</v>
      </c>
      <c r="L7" s="6">
        <v>0</v>
      </c>
      <c r="M7" s="6">
        <v>0</v>
      </c>
      <c r="N7" s="6">
        <v>0.01</v>
      </c>
      <c r="O7" s="6">
        <v>0</v>
      </c>
      <c r="P7" s="6">
        <v>0</v>
      </c>
      <c r="Q7" s="6">
        <v>0</v>
      </c>
      <c r="R7" s="6">
        <v>0</v>
      </c>
      <c r="S7" s="6">
        <v>0</v>
      </c>
      <c r="T7" s="6">
        <v>0</v>
      </c>
      <c r="U7" s="6">
        <v>0</v>
      </c>
      <c r="V7" s="6">
        <v>0</v>
      </c>
      <c r="W7" s="6">
        <v>0</v>
      </c>
      <c r="X7" s="6">
        <v>0</v>
      </c>
      <c r="Y7" s="6">
        <v>0</v>
      </c>
      <c r="Z7" s="6">
        <v>0</v>
      </c>
    </row>
    <row r="8" spans="1:28" x14ac:dyDescent="0.25">
      <c r="A8" s="21">
        <v>7</v>
      </c>
      <c r="B8" s="6">
        <v>0.01</v>
      </c>
      <c r="C8" s="6">
        <v>0</v>
      </c>
      <c r="D8" s="6">
        <v>0</v>
      </c>
      <c r="E8" s="6">
        <v>0</v>
      </c>
      <c r="F8" s="6">
        <v>0</v>
      </c>
      <c r="G8" s="6">
        <v>0</v>
      </c>
      <c r="H8" s="6">
        <v>0</v>
      </c>
      <c r="I8" s="6">
        <v>0</v>
      </c>
      <c r="J8" s="6">
        <v>0</v>
      </c>
      <c r="K8" s="6">
        <v>0</v>
      </c>
      <c r="L8" s="6">
        <v>0</v>
      </c>
      <c r="M8" s="6">
        <v>0</v>
      </c>
      <c r="N8" s="6">
        <v>0.01</v>
      </c>
      <c r="O8" s="6">
        <v>0</v>
      </c>
      <c r="P8" s="6">
        <v>0</v>
      </c>
      <c r="Q8" s="6">
        <v>0</v>
      </c>
      <c r="R8" s="6">
        <v>0</v>
      </c>
      <c r="S8" s="6">
        <v>0</v>
      </c>
      <c r="T8" s="6">
        <v>0</v>
      </c>
      <c r="U8" s="6">
        <v>0</v>
      </c>
      <c r="V8" s="6">
        <v>0</v>
      </c>
      <c r="W8" s="6">
        <v>0</v>
      </c>
      <c r="X8" s="6">
        <v>0</v>
      </c>
      <c r="Y8" s="6">
        <v>0</v>
      </c>
      <c r="Z8" s="6">
        <v>0</v>
      </c>
    </row>
    <row r="9" spans="1:28" x14ac:dyDescent="0.25">
      <c r="A9" s="21">
        <v>8</v>
      </c>
      <c r="B9" s="6">
        <v>0.01</v>
      </c>
      <c r="C9" s="6">
        <v>0</v>
      </c>
      <c r="D9" s="6">
        <v>0</v>
      </c>
      <c r="E9" s="6">
        <v>0</v>
      </c>
      <c r="F9" s="6">
        <v>0</v>
      </c>
      <c r="G9" s="6">
        <v>0</v>
      </c>
      <c r="H9" s="6">
        <v>0</v>
      </c>
      <c r="I9" s="6">
        <v>0</v>
      </c>
      <c r="J9" s="6">
        <v>0</v>
      </c>
      <c r="K9" s="6">
        <v>0</v>
      </c>
      <c r="L9" s="6">
        <v>0</v>
      </c>
      <c r="M9" s="6">
        <v>0</v>
      </c>
      <c r="N9" s="6">
        <v>0.01</v>
      </c>
      <c r="O9" s="6">
        <v>0</v>
      </c>
      <c r="P9" s="6">
        <v>0</v>
      </c>
      <c r="Q9" s="6">
        <v>0</v>
      </c>
      <c r="R9" s="6">
        <v>0</v>
      </c>
      <c r="S9" s="6">
        <v>0</v>
      </c>
      <c r="T9" s="6">
        <v>0</v>
      </c>
      <c r="U9" s="6">
        <v>0</v>
      </c>
      <c r="V9" s="6">
        <v>0</v>
      </c>
      <c r="W9" s="6">
        <v>0</v>
      </c>
      <c r="X9" s="6">
        <v>0</v>
      </c>
      <c r="Y9" s="6">
        <v>0</v>
      </c>
      <c r="Z9" s="6">
        <v>0</v>
      </c>
    </row>
    <row r="10" spans="1:28" x14ac:dyDescent="0.25">
      <c r="A10" s="21">
        <v>9</v>
      </c>
      <c r="B10" s="6">
        <v>0.01</v>
      </c>
      <c r="C10" s="6">
        <v>0</v>
      </c>
      <c r="D10" s="6">
        <v>0</v>
      </c>
      <c r="E10" s="6">
        <v>0</v>
      </c>
      <c r="F10" s="6">
        <v>0</v>
      </c>
      <c r="G10" s="6">
        <v>0</v>
      </c>
      <c r="H10" s="6">
        <v>0</v>
      </c>
      <c r="I10" s="6">
        <v>0</v>
      </c>
      <c r="J10" s="6">
        <v>0</v>
      </c>
      <c r="K10" s="6">
        <v>0</v>
      </c>
      <c r="L10" s="6">
        <v>0</v>
      </c>
      <c r="M10" s="6">
        <v>0</v>
      </c>
      <c r="N10" s="6">
        <v>0.01</v>
      </c>
      <c r="O10" s="6">
        <v>0</v>
      </c>
      <c r="P10" s="6">
        <v>0</v>
      </c>
      <c r="Q10" s="6">
        <v>0</v>
      </c>
      <c r="R10" s="6">
        <v>0</v>
      </c>
      <c r="S10" s="6">
        <v>0</v>
      </c>
      <c r="T10" s="6">
        <v>0</v>
      </c>
      <c r="U10" s="6">
        <v>0</v>
      </c>
      <c r="V10" s="6">
        <v>0</v>
      </c>
      <c r="W10" s="6">
        <v>0</v>
      </c>
      <c r="X10" s="6">
        <v>0</v>
      </c>
      <c r="Y10" s="6">
        <v>0</v>
      </c>
      <c r="Z10" s="6">
        <v>0</v>
      </c>
    </row>
    <row r="11" spans="1:28" x14ac:dyDescent="0.25">
      <c r="A11" s="21">
        <v>10</v>
      </c>
      <c r="B11" s="6">
        <v>0.01</v>
      </c>
      <c r="C11" s="6">
        <v>0</v>
      </c>
      <c r="D11" s="6">
        <v>0</v>
      </c>
      <c r="E11" s="6">
        <v>0</v>
      </c>
      <c r="F11" s="6">
        <v>0</v>
      </c>
      <c r="G11" s="6">
        <v>0</v>
      </c>
      <c r="H11" s="6">
        <v>0</v>
      </c>
      <c r="I11" s="6">
        <v>0</v>
      </c>
      <c r="J11" s="6">
        <v>0</v>
      </c>
      <c r="K11" s="6">
        <v>0</v>
      </c>
      <c r="L11" s="6">
        <v>0</v>
      </c>
      <c r="M11" s="6">
        <v>0</v>
      </c>
      <c r="N11" s="6">
        <v>0.01</v>
      </c>
      <c r="O11" s="6">
        <v>0</v>
      </c>
      <c r="P11" s="6">
        <v>0</v>
      </c>
      <c r="Q11" s="6">
        <v>0</v>
      </c>
      <c r="R11" s="6">
        <v>0</v>
      </c>
      <c r="S11" s="6">
        <v>0</v>
      </c>
      <c r="T11" s="6">
        <v>0</v>
      </c>
      <c r="U11" s="6">
        <v>0</v>
      </c>
      <c r="V11" s="6">
        <v>0</v>
      </c>
      <c r="W11" s="6">
        <v>0</v>
      </c>
      <c r="X11" s="6">
        <v>0</v>
      </c>
      <c r="Y11" s="6">
        <v>0</v>
      </c>
      <c r="Z11" s="6">
        <v>0</v>
      </c>
    </row>
    <row r="12" spans="1:28" x14ac:dyDescent="0.25">
      <c r="A12" s="21">
        <v>11</v>
      </c>
      <c r="B12" s="6">
        <v>0.01</v>
      </c>
      <c r="C12" s="6">
        <v>0</v>
      </c>
      <c r="D12" s="6">
        <v>0</v>
      </c>
      <c r="E12" s="6">
        <v>0</v>
      </c>
      <c r="F12" s="6">
        <v>0</v>
      </c>
      <c r="G12" s="6">
        <v>0</v>
      </c>
      <c r="H12" s="6">
        <v>0</v>
      </c>
      <c r="I12" s="6">
        <v>0</v>
      </c>
      <c r="J12" s="6">
        <v>0</v>
      </c>
      <c r="K12" s="6">
        <v>0</v>
      </c>
      <c r="L12" s="6">
        <v>0</v>
      </c>
      <c r="M12" s="6">
        <v>0</v>
      </c>
      <c r="N12" s="6">
        <v>0.01</v>
      </c>
      <c r="O12" s="6">
        <v>0</v>
      </c>
      <c r="P12" s="6">
        <v>0</v>
      </c>
      <c r="Q12" s="6">
        <v>0</v>
      </c>
      <c r="R12" s="6">
        <v>0</v>
      </c>
      <c r="S12" s="6">
        <v>0</v>
      </c>
      <c r="T12" s="6">
        <v>0</v>
      </c>
      <c r="U12" s="6">
        <v>0</v>
      </c>
      <c r="V12" s="6">
        <v>0</v>
      </c>
      <c r="W12" s="6">
        <v>0</v>
      </c>
      <c r="X12" s="6">
        <v>0</v>
      </c>
      <c r="Y12" s="6">
        <v>0</v>
      </c>
      <c r="Z12" s="6">
        <v>0</v>
      </c>
    </row>
    <row r="13" spans="1:28" x14ac:dyDescent="0.25">
      <c r="A13" s="21">
        <v>12</v>
      </c>
      <c r="B13" s="6">
        <v>0.01</v>
      </c>
      <c r="C13" s="6">
        <v>0</v>
      </c>
      <c r="D13" s="6">
        <v>0</v>
      </c>
      <c r="E13" s="6">
        <v>0</v>
      </c>
      <c r="F13" s="6">
        <v>0</v>
      </c>
      <c r="G13" s="6">
        <v>0</v>
      </c>
      <c r="H13" s="6">
        <v>0</v>
      </c>
      <c r="I13" s="6">
        <v>0</v>
      </c>
      <c r="J13" s="6">
        <v>0</v>
      </c>
      <c r="K13" s="6">
        <v>0</v>
      </c>
      <c r="L13" s="6">
        <v>0</v>
      </c>
      <c r="M13" s="6">
        <v>0</v>
      </c>
      <c r="N13" s="6">
        <v>0.01</v>
      </c>
      <c r="O13" s="6">
        <v>0</v>
      </c>
      <c r="P13" s="6">
        <v>0</v>
      </c>
      <c r="Q13" s="6">
        <v>0</v>
      </c>
      <c r="R13" s="6">
        <v>0</v>
      </c>
      <c r="S13" s="6">
        <v>0</v>
      </c>
      <c r="T13" s="6">
        <v>0</v>
      </c>
      <c r="U13" s="6">
        <v>0</v>
      </c>
      <c r="V13" s="6">
        <v>0</v>
      </c>
      <c r="W13" s="6">
        <v>0</v>
      </c>
      <c r="X13" s="6">
        <v>0</v>
      </c>
      <c r="Y13" s="6">
        <v>0</v>
      </c>
      <c r="Z13" s="6">
        <v>0</v>
      </c>
    </row>
    <row r="14" spans="1:28" x14ac:dyDescent="0.25">
      <c r="A14" s="21">
        <v>13</v>
      </c>
      <c r="B14" s="6">
        <v>0.01</v>
      </c>
      <c r="C14" s="6">
        <v>0</v>
      </c>
      <c r="D14" s="6">
        <v>0</v>
      </c>
      <c r="E14" s="6">
        <v>0</v>
      </c>
      <c r="F14" s="6">
        <v>0</v>
      </c>
      <c r="G14" s="6">
        <v>0</v>
      </c>
      <c r="H14" s="6">
        <v>0</v>
      </c>
      <c r="I14" s="6">
        <v>0</v>
      </c>
      <c r="J14" s="6">
        <v>0</v>
      </c>
      <c r="K14" s="6">
        <v>0</v>
      </c>
      <c r="L14" s="6">
        <v>0</v>
      </c>
      <c r="M14" s="6">
        <v>0</v>
      </c>
      <c r="N14" s="6">
        <v>0.01</v>
      </c>
      <c r="O14" s="6">
        <v>0</v>
      </c>
      <c r="P14" s="6">
        <v>0</v>
      </c>
      <c r="Q14" s="6">
        <v>0</v>
      </c>
      <c r="R14" s="6">
        <v>0</v>
      </c>
      <c r="S14" s="6">
        <v>0</v>
      </c>
      <c r="T14" s="6">
        <v>0</v>
      </c>
      <c r="U14" s="6">
        <v>0</v>
      </c>
      <c r="V14" s="6">
        <v>0</v>
      </c>
      <c r="W14" s="6">
        <v>0</v>
      </c>
      <c r="X14" s="6">
        <v>0</v>
      </c>
      <c r="Y14" s="6">
        <v>0</v>
      </c>
      <c r="Z14" s="6">
        <v>0</v>
      </c>
    </row>
    <row r="15" spans="1:28" x14ac:dyDescent="0.25">
      <c r="A15" s="21">
        <v>14</v>
      </c>
      <c r="B15" s="6">
        <v>0.01</v>
      </c>
      <c r="C15" s="6">
        <v>0</v>
      </c>
      <c r="D15" s="6">
        <v>0</v>
      </c>
      <c r="E15" s="6">
        <v>0</v>
      </c>
      <c r="F15" s="6">
        <v>0</v>
      </c>
      <c r="G15" s="6">
        <v>0</v>
      </c>
      <c r="H15" s="6">
        <v>0</v>
      </c>
      <c r="I15" s="6">
        <v>0</v>
      </c>
      <c r="J15" s="6">
        <v>0</v>
      </c>
      <c r="K15" s="6">
        <v>0</v>
      </c>
      <c r="L15" s="6">
        <v>0</v>
      </c>
      <c r="M15" s="6">
        <v>0</v>
      </c>
      <c r="N15" s="6">
        <v>0.01</v>
      </c>
      <c r="O15" s="6">
        <v>0</v>
      </c>
      <c r="P15" s="6">
        <v>0</v>
      </c>
      <c r="Q15" s="6">
        <v>0</v>
      </c>
      <c r="R15" s="6">
        <v>0</v>
      </c>
      <c r="S15" s="6">
        <v>0</v>
      </c>
      <c r="T15" s="6">
        <v>0</v>
      </c>
      <c r="U15" s="6">
        <v>0</v>
      </c>
      <c r="V15" s="6">
        <v>0</v>
      </c>
      <c r="W15" s="6">
        <v>0</v>
      </c>
      <c r="X15" s="6">
        <v>0</v>
      </c>
      <c r="Y15" s="6">
        <v>0</v>
      </c>
      <c r="Z15" s="6">
        <v>0</v>
      </c>
    </row>
    <row r="16" spans="1:28" x14ac:dyDescent="0.25">
      <c r="A16" s="21">
        <v>15</v>
      </c>
      <c r="B16" s="6">
        <v>0.01</v>
      </c>
      <c r="C16" s="6">
        <v>0</v>
      </c>
      <c r="D16" s="6">
        <v>0</v>
      </c>
      <c r="E16" s="6">
        <v>0</v>
      </c>
      <c r="F16" s="6">
        <v>0</v>
      </c>
      <c r="G16" s="6">
        <v>0</v>
      </c>
      <c r="H16" s="6">
        <v>0</v>
      </c>
      <c r="I16" s="6">
        <v>0</v>
      </c>
      <c r="J16" s="6">
        <v>0</v>
      </c>
      <c r="K16" s="6">
        <v>0</v>
      </c>
      <c r="L16" s="6">
        <v>0</v>
      </c>
      <c r="M16" s="6">
        <v>0</v>
      </c>
      <c r="N16" s="6">
        <v>0.01</v>
      </c>
      <c r="O16" s="6">
        <v>0</v>
      </c>
      <c r="P16" s="6">
        <v>0</v>
      </c>
      <c r="Q16" s="6">
        <v>0</v>
      </c>
      <c r="R16" s="6">
        <v>0</v>
      </c>
      <c r="S16" s="6">
        <v>0</v>
      </c>
      <c r="T16" s="6">
        <v>0</v>
      </c>
      <c r="U16" s="6">
        <v>0</v>
      </c>
      <c r="V16" s="6">
        <v>0</v>
      </c>
      <c r="W16" s="6">
        <v>0</v>
      </c>
      <c r="X16" s="6">
        <v>0</v>
      </c>
      <c r="Y16" s="6">
        <v>0</v>
      </c>
      <c r="Z16" s="6">
        <v>0</v>
      </c>
    </row>
    <row r="17" spans="1:26" x14ac:dyDescent="0.25">
      <c r="A17" s="21">
        <v>16</v>
      </c>
      <c r="B17" s="6">
        <v>0.01</v>
      </c>
      <c r="C17" s="6">
        <v>0</v>
      </c>
      <c r="D17" s="6">
        <v>0</v>
      </c>
      <c r="E17" s="6">
        <v>0</v>
      </c>
      <c r="F17" s="6">
        <v>0</v>
      </c>
      <c r="G17" s="6">
        <v>0</v>
      </c>
      <c r="H17" s="6">
        <v>0</v>
      </c>
      <c r="I17" s="6">
        <v>0</v>
      </c>
      <c r="J17" s="6">
        <v>0</v>
      </c>
      <c r="K17" s="6">
        <v>0</v>
      </c>
      <c r="L17" s="6">
        <v>0</v>
      </c>
      <c r="M17" s="6">
        <v>0</v>
      </c>
      <c r="N17" s="6">
        <v>0.01</v>
      </c>
      <c r="O17" s="6">
        <v>0</v>
      </c>
      <c r="P17" s="6">
        <v>0</v>
      </c>
      <c r="Q17" s="6">
        <v>0</v>
      </c>
      <c r="R17" s="6">
        <v>0</v>
      </c>
      <c r="S17" s="6">
        <v>0</v>
      </c>
      <c r="T17" s="6">
        <v>0</v>
      </c>
      <c r="U17" s="6">
        <v>0</v>
      </c>
      <c r="V17" s="6">
        <v>0</v>
      </c>
      <c r="W17" s="6">
        <v>0</v>
      </c>
      <c r="X17" s="6">
        <v>0</v>
      </c>
      <c r="Y17" s="6">
        <v>0</v>
      </c>
      <c r="Z17" s="6">
        <v>0</v>
      </c>
    </row>
    <row r="18" spans="1:26" x14ac:dyDescent="0.25">
      <c r="A18" s="21">
        <v>17</v>
      </c>
      <c r="B18" s="6">
        <v>0.01</v>
      </c>
      <c r="C18" s="6">
        <v>0</v>
      </c>
      <c r="D18" s="6">
        <v>0</v>
      </c>
      <c r="E18" s="6">
        <v>0</v>
      </c>
      <c r="F18" s="6">
        <v>0</v>
      </c>
      <c r="G18" s="6">
        <v>0</v>
      </c>
      <c r="H18" s="6">
        <v>0</v>
      </c>
      <c r="I18" s="6">
        <v>0</v>
      </c>
      <c r="J18" s="6">
        <v>0</v>
      </c>
      <c r="K18" s="6">
        <v>0</v>
      </c>
      <c r="L18" s="6">
        <v>0</v>
      </c>
      <c r="M18" s="6">
        <v>0</v>
      </c>
      <c r="N18" s="6">
        <v>0.01</v>
      </c>
      <c r="O18" s="6">
        <v>0</v>
      </c>
      <c r="P18" s="6">
        <v>0</v>
      </c>
      <c r="Q18" s="6">
        <v>0</v>
      </c>
      <c r="R18" s="6">
        <v>0</v>
      </c>
      <c r="S18" s="6">
        <v>0</v>
      </c>
      <c r="T18" s="6">
        <v>0</v>
      </c>
      <c r="U18" s="6">
        <v>0</v>
      </c>
      <c r="V18" s="6">
        <v>0</v>
      </c>
      <c r="W18" s="6">
        <v>0</v>
      </c>
      <c r="X18" s="6">
        <v>0</v>
      </c>
      <c r="Y18" s="6">
        <v>0</v>
      </c>
      <c r="Z18" s="6">
        <v>0</v>
      </c>
    </row>
    <row r="19" spans="1:26" x14ac:dyDescent="0.25">
      <c r="A19" s="21">
        <v>18</v>
      </c>
      <c r="B19" s="6">
        <v>0.01</v>
      </c>
      <c r="C19" s="6">
        <v>0</v>
      </c>
      <c r="D19" s="6">
        <v>0</v>
      </c>
      <c r="E19" s="6">
        <v>0</v>
      </c>
      <c r="F19" s="6">
        <v>0</v>
      </c>
      <c r="G19" s="6">
        <v>0</v>
      </c>
      <c r="H19" s="6">
        <v>0</v>
      </c>
      <c r="I19" s="6">
        <v>0</v>
      </c>
      <c r="J19" s="6">
        <v>0</v>
      </c>
      <c r="K19" s="6">
        <v>0</v>
      </c>
      <c r="L19" s="6">
        <v>0</v>
      </c>
      <c r="M19" s="6">
        <v>0</v>
      </c>
      <c r="N19" s="6">
        <v>0.01</v>
      </c>
      <c r="O19" s="6">
        <v>0</v>
      </c>
      <c r="P19" s="6">
        <v>0</v>
      </c>
      <c r="Q19" s="6">
        <v>0</v>
      </c>
      <c r="R19" s="6">
        <v>0</v>
      </c>
      <c r="S19" s="6">
        <v>0</v>
      </c>
      <c r="T19" s="6">
        <v>0</v>
      </c>
      <c r="U19" s="6">
        <v>0</v>
      </c>
      <c r="V19" s="6">
        <v>0</v>
      </c>
      <c r="W19" s="6">
        <v>0</v>
      </c>
      <c r="X19" s="6">
        <v>0</v>
      </c>
      <c r="Y19" s="6">
        <v>0</v>
      </c>
      <c r="Z19" s="6">
        <v>0</v>
      </c>
    </row>
    <row r="20" spans="1:26" x14ac:dyDescent="0.25">
      <c r="A20" s="21"/>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21"/>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21"/>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21"/>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21"/>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21"/>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21"/>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21"/>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21"/>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21"/>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21"/>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21"/>
      <c r="B31" s="6"/>
      <c r="C31" s="6"/>
      <c r="D31" s="6"/>
      <c r="E31" s="6"/>
      <c r="F31" s="6"/>
      <c r="G31" s="6"/>
      <c r="H31" s="6"/>
      <c r="I31" s="6"/>
      <c r="J31" s="6"/>
      <c r="K31" s="6"/>
      <c r="L31" s="6"/>
      <c r="M31" s="6"/>
      <c r="N31" s="6"/>
      <c r="O31" s="6"/>
      <c r="P31" s="6"/>
      <c r="Q31" s="6"/>
      <c r="R31" s="6"/>
      <c r="S31" s="6"/>
      <c r="T31" s="6"/>
      <c r="U31" s="6"/>
      <c r="V31" s="6"/>
      <c r="W31" s="6"/>
      <c r="X31" s="6"/>
      <c r="Y31" s="6"/>
      <c r="Z31" s="6"/>
    </row>
  </sheetData>
  <sheetProtection select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26"/>
  <sheetViews>
    <sheetView workbookViewId="0">
      <selection sqref="A1:S26"/>
    </sheetView>
  </sheetViews>
  <sheetFormatPr defaultRowHeight="15" x14ac:dyDescent="0.25"/>
  <sheetData>
    <row r="1" spans="1:19" x14ac:dyDescent="0.25">
      <c r="A1">
        <v>0</v>
      </c>
      <c r="B1">
        <v>1</v>
      </c>
      <c r="C1">
        <v>2</v>
      </c>
      <c r="D1">
        <v>3</v>
      </c>
      <c r="E1">
        <v>4</v>
      </c>
      <c r="F1">
        <v>5</v>
      </c>
      <c r="G1">
        <v>6</v>
      </c>
      <c r="H1">
        <v>7</v>
      </c>
      <c r="I1">
        <v>8</v>
      </c>
      <c r="J1">
        <v>9</v>
      </c>
      <c r="K1">
        <v>10</v>
      </c>
      <c r="L1">
        <v>11</v>
      </c>
      <c r="M1">
        <v>12</v>
      </c>
      <c r="N1">
        <v>13</v>
      </c>
      <c r="O1">
        <v>14</v>
      </c>
      <c r="P1">
        <v>15</v>
      </c>
      <c r="Q1">
        <v>16</v>
      </c>
      <c r="R1">
        <v>17</v>
      </c>
      <c r="S1">
        <v>18</v>
      </c>
    </row>
    <row r="2" spans="1:19" x14ac:dyDescent="0.25">
      <c r="A2" t="s">
        <v>0</v>
      </c>
      <c r="B2">
        <v>1</v>
      </c>
      <c r="C2">
        <v>0</v>
      </c>
      <c r="D2">
        <v>0</v>
      </c>
      <c r="E2">
        <v>0</v>
      </c>
      <c r="F2">
        <v>0</v>
      </c>
      <c r="G2">
        <v>0</v>
      </c>
      <c r="H2">
        <v>0</v>
      </c>
      <c r="I2">
        <v>0</v>
      </c>
      <c r="J2">
        <v>0</v>
      </c>
      <c r="K2">
        <v>0</v>
      </c>
      <c r="L2">
        <v>0</v>
      </c>
      <c r="M2">
        <v>0</v>
      </c>
      <c r="N2">
        <v>0</v>
      </c>
      <c r="O2">
        <v>0</v>
      </c>
      <c r="P2">
        <v>0</v>
      </c>
      <c r="Q2">
        <v>0</v>
      </c>
      <c r="R2">
        <v>0</v>
      </c>
      <c r="S2">
        <v>0</v>
      </c>
    </row>
    <row r="3" spans="1:19" x14ac:dyDescent="0.25">
      <c r="A3" t="s">
        <v>1</v>
      </c>
      <c r="B3">
        <v>0</v>
      </c>
      <c r="C3">
        <v>2</v>
      </c>
      <c r="D3">
        <v>0</v>
      </c>
      <c r="E3">
        <v>0</v>
      </c>
      <c r="F3">
        <v>0</v>
      </c>
      <c r="G3">
        <v>0</v>
      </c>
      <c r="H3">
        <v>0</v>
      </c>
      <c r="I3">
        <v>0</v>
      </c>
      <c r="J3">
        <v>0</v>
      </c>
      <c r="K3">
        <v>0</v>
      </c>
      <c r="L3">
        <v>0</v>
      </c>
      <c r="M3">
        <v>0</v>
      </c>
      <c r="N3">
        <v>0</v>
      </c>
      <c r="O3">
        <v>0</v>
      </c>
      <c r="P3">
        <v>0</v>
      </c>
      <c r="Q3">
        <v>0</v>
      </c>
      <c r="R3">
        <v>0</v>
      </c>
      <c r="S3">
        <v>0</v>
      </c>
    </row>
    <row r="4" spans="1:19" x14ac:dyDescent="0.25">
      <c r="A4" t="s">
        <v>2</v>
      </c>
      <c r="B4">
        <v>0</v>
      </c>
      <c r="C4">
        <v>0</v>
      </c>
      <c r="D4">
        <v>3</v>
      </c>
      <c r="E4">
        <v>0</v>
      </c>
      <c r="F4">
        <v>0</v>
      </c>
      <c r="G4">
        <v>0</v>
      </c>
      <c r="H4">
        <v>0</v>
      </c>
      <c r="I4">
        <v>0</v>
      </c>
      <c r="J4">
        <v>0</v>
      </c>
      <c r="K4">
        <v>0</v>
      </c>
      <c r="L4">
        <v>0</v>
      </c>
      <c r="M4">
        <v>0</v>
      </c>
      <c r="N4">
        <v>0</v>
      </c>
      <c r="O4">
        <v>0</v>
      </c>
      <c r="P4">
        <v>0</v>
      </c>
      <c r="Q4">
        <v>0</v>
      </c>
      <c r="R4">
        <v>0</v>
      </c>
      <c r="S4">
        <v>0</v>
      </c>
    </row>
    <row r="5" spans="1:19" x14ac:dyDescent="0.25">
      <c r="A5" t="s">
        <v>3</v>
      </c>
      <c r="B5">
        <v>0</v>
      </c>
      <c r="C5">
        <v>0</v>
      </c>
      <c r="D5">
        <v>0</v>
      </c>
      <c r="E5">
        <v>4</v>
      </c>
      <c r="F5">
        <v>0</v>
      </c>
      <c r="G5">
        <v>0</v>
      </c>
      <c r="H5">
        <v>0</v>
      </c>
      <c r="I5">
        <v>0</v>
      </c>
      <c r="J5">
        <v>0</v>
      </c>
      <c r="K5">
        <v>0</v>
      </c>
      <c r="L5">
        <v>0</v>
      </c>
      <c r="M5">
        <v>0</v>
      </c>
      <c r="N5">
        <v>0</v>
      </c>
      <c r="O5">
        <v>0</v>
      </c>
      <c r="P5">
        <v>0</v>
      </c>
      <c r="Q5">
        <v>0</v>
      </c>
      <c r="R5">
        <v>0</v>
      </c>
      <c r="S5">
        <v>0</v>
      </c>
    </row>
    <row r="6" spans="1:19" x14ac:dyDescent="0.25">
      <c r="A6" t="s">
        <v>4</v>
      </c>
      <c r="B6">
        <v>0</v>
      </c>
      <c r="C6">
        <v>0</v>
      </c>
      <c r="D6">
        <v>0</v>
      </c>
      <c r="E6">
        <v>5</v>
      </c>
      <c r="F6">
        <v>0</v>
      </c>
      <c r="G6">
        <v>0</v>
      </c>
      <c r="H6">
        <v>0</v>
      </c>
      <c r="I6">
        <v>0</v>
      </c>
      <c r="J6">
        <v>0</v>
      </c>
      <c r="K6">
        <v>0</v>
      </c>
      <c r="L6">
        <v>0</v>
      </c>
      <c r="M6">
        <v>0</v>
      </c>
      <c r="N6">
        <v>0</v>
      </c>
      <c r="O6">
        <v>0</v>
      </c>
      <c r="P6">
        <v>0</v>
      </c>
      <c r="Q6">
        <v>0</v>
      </c>
      <c r="R6">
        <v>0</v>
      </c>
      <c r="S6">
        <v>0</v>
      </c>
    </row>
    <row r="7" spans="1:19" x14ac:dyDescent="0.25">
      <c r="A7" t="s">
        <v>5</v>
      </c>
      <c r="B7">
        <v>0</v>
      </c>
      <c r="C7">
        <v>0</v>
      </c>
      <c r="D7">
        <v>0</v>
      </c>
      <c r="E7">
        <v>6</v>
      </c>
      <c r="F7">
        <v>0</v>
      </c>
      <c r="G7">
        <v>0</v>
      </c>
      <c r="H7">
        <v>0</v>
      </c>
      <c r="I7">
        <v>0</v>
      </c>
      <c r="J7">
        <v>0</v>
      </c>
      <c r="K7">
        <v>0</v>
      </c>
      <c r="L7">
        <v>0</v>
      </c>
      <c r="M7">
        <v>0</v>
      </c>
      <c r="N7">
        <v>0</v>
      </c>
      <c r="O7">
        <v>0</v>
      </c>
      <c r="P7">
        <v>0</v>
      </c>
      <c r="Q7">
        <v>0</v>
      </c>
      <c r="R7">
        <v>0</v>
      </c>
      <c r="S7">
        <v>0</v>
      </c>
    </row>
    <row r="8" spans="1:19" x14ac:dyDescent="0.25">
      <c r="A8" t="s">
        <v>6</v>
      </c>
      <c r="B8">
        <v>0</v>
      </c>
      <c r="C8">
        <v>0</v>
      </c>
      <c r="D8">
        <v>0</v>
      </c>
      <c r="E8">
        <v>0</v>
      </c>
      <c r="F8">
        <v>7</v>
      </c>
      <c r="G8">
        <v>0</v>
      </c>
      <c r="H8">
        <v>0</v>
      </c>
      <c r="I8">
        <v>0</v>
      </c>
      <c r="J8">
        <v>0</v>
      </c>
      <c r="K8">
        <v>0</v>
      </c>
      <c r="L8">
        <v>0</v>
      </c>
      <c r="M8">
        <v>0</v>
      </c>
      <c r="N8">
        <v>0</v>
      </c>
      <c r="O8">
        <v>0</v>
      </c>
      <c r="P8">
        <v>0</v>
      </c>
      <c r="Q8">
        <v>0</v>
      </c>
      <c r="R8">
        <v>0</v>
      </c>
      <c r="S8">
        <v>0</v>
      </c>
    </row>
    <row r="9" spans="1:19" x14ac:dyDescent="0.25">
      <c r="A9" t="s">
        <v>7</v>
      </c>
      <c r="B9">
        <v>0</v>
      </c>
      <c r="C9">
        <v>0</v>
      </c>
      <c r="D9">
        <v>0</v>
      </c>
      <c r="E9">
        <v>0</v>
      </c>
      <c r="F9">
        <v>8</v>
      </c>
      <c r="G9">
        <v>0</v>
      </c>
      <c r="H9">
        <v>0</v>
      </c>
      <c r="I9">
        <v>0</v>
      </c>
      <c r="J9">
        <v>0</v>
      </c>
      <c r="K9">
        <v>0</v>
      </c>
      <c r="L9">
        <v>0</v>
      </c>
      <c r="M9">
        <v>0</v>
      </c>
      <c r="N9">
        <v>0</v>
      </c>
      <c r="O9">
        <v>0</v>
      </c>
      <c r="P9">
        <v>0</v>
      </c>
      <c r="Q9">
        <v>0</v>
      </c>
      <c r="R9">
        <v>0</v>
      </c>
      <c r="S9">
        <v>0</v>
      </c>
    </row>
    <row r="10" spans="1:19" x14ac:dyDescent="0.25">
      <c r="A10" t="s">
        <v>8</v>
      </c>
      <c r="B10">
        <v>0</v>
      </c>
      <c r="C10">
        <v>0</v>
      </c>
      <c r="D10">
        <v>0</v>
      </c>
      <c r="E10">
        <v>0</v>
      </c>
      <c r="F10">
        <v>0</v>
      </c>
      <c r="G10">
        <v>9</v>
      </c>
      <c r="H10">
        <v>0</v>
      </c>
      <c r="I10">
        <v>0</v>
      </c>
      <c r="J10">
        <v>0</v>
      </c>
      <c r="K10">
        <v>0</v>
      </c>
      <c r="L10">
        <v>0</v>
      </c>
      <c r="M10">
        <v>0</v>
      </c>
      <c r="N10">
        <v>0</v>
      </c>
      <c r="O10">
        <v>0</v>
      </c>
      <c r="P10">
        <v>0</v>
      </c>
      <c r="Q10">
        <v>0</v>
      </c>
      <c r="R10">
        <v>0</v>
      </c>
      <c r="S10">
        <v>0</v>
      </c>
    </row>
    <row r="11" spans="1:19" x14ac:dyDescent="0.25">
      <c r="A11" t="s">
        <v>9</v>
      </c>
      <c r="B11">
        <v>0</v>
      </c>
      <c r="C11">
        <v>0</v>
      </c>
      <c r="D11">
        <v>0</v>
      </c>
      <c r="E11">
        <v>0</v>
      </c>
      <c r="F11">
        <v>0</v>
      </c>
      <c r="G11">
        <v>0</v>
      </c>
      <c r="H11">
        <v>10</v>
      </c>
      <c r="I11">
        <v>0</v>
      </c>
      <c r="J11">
        <v>0</v>
      </c>
      <c r="K11">
        <v>0</v>
      </c>
      <c r="L11">
        <v>0</v>
      </c>
      <c r="M11">
        <v>0</v>
      </c>
      <c r="N11">
        <v>0</v>
      </c>
      <c r="O11">
        <v>0</v>
      </c>
      <c r="P11">
        <v>0</v>
      </c>
      <c r="Q11">
        <v>0</v>
      </c>
      <c r="R11">
        <v>0</v>
      </c>
      <c r="S11">
        <v>0</v>
      </c>
    </row>
    <row r="12" spans="1:19" x14ac:dyDescent="0.25">
      <c r="A12" t="s">
        <v>10</v>
      </c>
      <c r="B12">
        <v>0</v>
      </c>
      <c r="C12">
        <v>0</v>
      </c>
      <c r="D12">
        <v>0</v>
      </c>
      <c r="E12">
        <v>0</v>
      </c>
      <c r="F12">
        <v>0</v>
      </c>
      <c r="G12">
        <v>0</v>
      </c>
      <c r="H12">
        <v>0</v>
      </c>
      <c r="I12">
        <v>11</v>
      </c>
      <c r="J12">
        <v>0</v>
      </c>
      <c r="K12">
        <v>0</v>
      </c>
      <c r="L12">
        <v>0</v>
      </c>
      <c r="M12">
        <v>0</v>
      </c>
      <c r="N12">
        <v>0</v>
      </c>
      <c r="O12">
        <v>0</v>
      </c>
      <c r="P12">
        <v>0</v>
      </c>
      <c r="Q12">
        <v>0</v>
      </c>
      <c r="R12">
        <v>0</v>
      </c>
      <c r="S12">
        <v>0</v>
      </c>
    </row>
    <row r="13" spans="1:19" x14ac:dyDescent="0.25">
      <c r="A13" t="s">
        <v>11</v>
      </c>
      <c r="B13">
        <v>0</v>
      </c>
      <c r="C13">
        <v>0</v>
      </c>
      <c r="D13">
        <v>0</v>
      </c>
      <c r="E13">
        <v>0</v>
      </c>
      <c r="F13">
        <v>0</v>
      </c>
      <c r="G13">
        <v>0</v>
      </c>
      <c r="H13">
        <v>0</v>
      </c>
      <c r="I13">
        <v>0</v>
      </c>
      <c r="J13">
        <v>12</v>
      </c>
      <c r="K13">
        <v>0</v>
      </c>
      <c r="L13">
        <v>0</v>
      </c>
      <c r="M13">
        <v>0</v>
      </c>
      <c r="N13">
        <v>0</v>
      </c>
      <c r="O13">
        <v>0</v>
      </c>
      <c r="P13">
        <v>0</v>
      </c>
      <c r="Q13">
        <v>0</v>
      </c>
      <c r="R13">
        <v>0</v>
      </c>
      <c r="S13">
        <v>0</v>
      </c>
    </row>
    <row r="14" spans="1:19" x14ac:dyDescent="0.25">
      <c r="A14" t="s">
        <v>12</v>
      </c>
      <c r="B14">
        <v>0</v>
      </c>
      <c r="C14">
        <v>0</v>
      </c>
      <c r="D14">
        <v>0</v>
      </c>
      <c r="E14">
        <v>0</v>
      </c>
      <c r="F14">
        <v>0</v>
      </c>
      <c r="G14">
        <v>0</v>
      </c>
      <c r="H14">
        <v>0</v>
      </c>
      <c r="I14">
        <v>0</v>
      </c>
      <c r="J14">
        <v>0</v>
      </c>
      <c r="K14">
        <v>13</v>
      </c>
      <c r="L14">
        <v>0</v>
      </c>
      <c r="M14">
        <v>0</v>
      </c>
      <c r="N14">
        <v>0</v>
      </c>
      <c r="O14">
        <v>0</v>
      </c>
      <c r="P14">
        <v>0</v>
      </c>
      <c r="Q14">
        <v>0</v>
      </c>
      <c r="R14">
        <v>0</v>
      </c>
      <c r="S14">
        <v>0</v>
      </c>
    </row>
    <row r="15" spans="1:19" x14ac:dyDescent="0.25">
      <c r="A15" t="s">
        <v>13</v>
      </c>
      <c r="B15">
        <v>0</v>
      </c>
      <c r="C15">
        <v>0</v>
      </c>
      <c r="D15">
        <v>0</v>
      </c>
      <c r="E15">
        <v>0</v>
      </c>
      <c r="F15">
        <v>0</v>
      </c>
      <c r="G15">
        <v>0</v>
      </c>
      <c r="H15">
        <v>0</v>
      </c>
      <c r="I15">
        <v>0</v>
      </c>
      <c r="J15">
        <v>0</v>
      </c>
      <c r="K15">
        <v>0</v>
      </c>
      <c r="L15">
        <v>14</v>
      </c>
      <c r="M15">
        <v>0</v>
      </c>
      <c r="N15">
        <v>0</v>
      </c>
      <c r="O15">
        <v>0</v>
      </c>
      <c r="P15">
        <v>0</v>
      </c>
      <c r="Q15">
        <v>0</v>
      </c>
      <c r="R15">
        <v>0</v>
      </c>
      <c r="S15">
        <v>0</v>
      </c>
    </row>
    <row r="16" spans="1:19" x14ac:dyDescent="0.25">
      <c r="A16" t="s">
        <v>14</v>
      </c>
      <c r="B16">
        <v>0</v>
      </c>
      <c r="C16">
        <v>0</v>
      </c>
      <c r="D16">
        <v>0</v>
      </c>
      <c r="E16">
        <v>0</v>
      </c>
      <c r="F16">
        <v>0</v>
      </c>
      <c r="G16">
        <v>0</v>
      </c>
      <c r="H16">
        <v>0</v>
      </c>
      <c r="I16">
        <v>0</v>
      </c>
      <c r="J16">
        <v>0</v>
      </c>
      <c r="K16">
        <v>0</v>
      </c>
      <c r="L16">
        <v>15</v>
      </c>
      <c r="M16">
        <v>0</v>
      </c>
      <c r="N16">
        <v>0</v>
      </c>
      <c r="O16">
        <v>0</v>
      </c>
      <c r="P16">
        <v>0</v>
      </c>
      <c r="Q16">
        <v>0</v>
      </c>
      <c r="R16">
        <v>0</v>
      </c>
      <c r="S16">
        <v>0</v>
      </c>
    </row>
    <row r="17" spans="1:19" x14ac:dyDescent="0.25">
      <c r="A17" t="s">
        <v>15</v>
      </c>
      <c r="B17">
        <v>0</v>
      </c>
      <c r="C17">
        <v>0</v>
      </c>
      <c r="D17">
        <v>0</v>
      </c>
      <c r="E17">
        <v>0</v>
      </c>
      <c r="F17">
        <v>0</v>
      </c>
      <c r="G17">
        <v>0</v>
      </c>
      <c r="H17">
        <v>0</v>
      </c>
      <c r="I17">
        <v>0</v>
      </c>
      <c r="J17">
        <v>0</v>
      </c>
      <c r="K17">
        <v>0</v>
      </c>
      <c r="L17">
        <v>0</v>
      </c>
      <c r="M17">
        <v>16</v>
      </c>
      <c r="N17">
        <v>0</v>
      </c>
      <c r="O17">
        <v>0</v>
      </c>
      <c r="P17">
        <v>0</v>
      </c>
      <c r="Q17">
        <v>0</v>
      </c>
      <c r="R17">
        <v>0</v>
      </c>
      <c r="S17">
        <v>0</v>
      </c>
    </row>
    <row r="18" spans="1:19" x14ac:dyDescent="0.25">
      <c r="A18" t="s">
        <v>16</v>
      </c>
      <c r="B18">
        <v>0</v>
      </c>
      <c r="C18">
        <v>0</v>
      </c>
      <c r="D18">
        <v>0</v>
      </c>
      <c r="E18">
        <v>0</v>
      </c>
      <c r="F18">
        <v>0</v>
      </c>
      <c r="G18">
        <v>0</v>
      </c>
      <c r="H18">
        <v>0</v>
      </c>
      <c r="I18">
        <v>0</v>
      </c>
      <c r="J18">
        <v>0</v>
      </c>
      <c r="K18">
        <v>0</v>
      </c>
      <c r="L18">
        <v>0</v>
      </c>
      <c r="M18">
        <v>0</v>
      </c>
      <c r="N18">
        <v>17</v>
      </c>
      <c r="O18">
        <v>0</v>
      </c>
      <c r="P18">
        <v>0</v>
      </c>
      <c r="Q18">
        <v>0</v>
      </c>
      <c r="R18">
        <v>0</v>
      </c>
      <c r="S18">
        <v>0</v>
      </c>
    </row>
    <row r="19" spans="1:19" x14ac:dyDescent="0.25">
      <c r="A19" t="s">
        <v>17</v>
      </c>
      <c r="B19">
        <v>0</v>
      </c>
      <c r="C19">
        <v>0</v>
      </c>
      <c r="D19">
        <v>0</v>
      </c>
      <c r="E19">
        <v>0</v>
      </c>
      <c r="F19">
        <v>0</v>
      </c>
      <c r="G19">
        <v>0</v>
      </c>
      <c r="H19">
        <v>0</v>
      </c>
      <c r="I19">
        <v>0</v>
      </c>
      <c r="J19">
        <v>0</v>
      </c>
      <c r="K19">
        <v>0</v>
      </c>
      <c r="L19">
        <v>0</v>
      </c>
      <c r="M19">
        <v>0</v>
      </c>
      <c r="N19">
        <v>18</v>
      </c>
      <c r="O19">
        <v>0</v>
      </c>
      <c r="P19">
        <v>0</v>
      </c>
      <c r="Q19">
        <v>0</v>
      </c>
      <c r="R19">
        <v>0</v>
      </c>
      <c r="S19">
        <v>0</v>
      </c>
    </row>
    <row r="20" spans="1:19" x14ac:dyDescent="0.25">
      <c r="A20" t="s">
        <v>18</v>
      </c>
      <c r="B20">
        <v>0</v>
      </c>
      <c r="C20">
        <v>0</v>
      </c>
      <c r="D20">
        <v>0</v>
      </c>
      <c r="E20">
        <v>0</v>
      </c>
      <c r="F20">
        <v>0</v>
      </c>
      <c r="G20">
        <v>0</v>
      </c>
      <c r="H20">
        <v>0</v>
      </c>
      <c r="I20">
        <v>0</v>
      </c>
      <c r="J20">
        <v>0</v>
      </c>
      <c r="K20">
        <v>0</v>
      </c>
      <c r="L20">
        <v>0</v>
      </c>
      <c r="M20">
        <v>0</v>
      </c>
      <c r="N20">
        <v>0</v>
      </c>
      <c r="O20">
        <v>19</v>
      </c>
      <c r="P20">
        <v>0</v>
      </c>
      <c r="Q20">
        <v>0</v>
      </c>
      <c r="R20">
        <v>0</v>
      </c>
      <c r="S20">
        <v>0</v>
      </c>
    </row>
    <row r="21" spans="1:19" x14ac:dyDescent="0.25">
      <c r="A21" t="s">
        <v>19</v>
      </c>
      <c r="B21">
        <v>0</v>
      </c>
      <c r="C21">
        <v>0</v>
      </c>
      <c r="D21">
        <v>0</v>
      </c>
      <c r="E21">
        <v>0</v>
      </c>
      <c r="F21">
        <v>0</v>
      </c>
      <c r="G21">
        <v>0</v>
      </c>
      <c r="H21">
        <v>0</v>
      </c>
      <c r="I21">
        <v>0</v>
      </c>
      <c r="J21">
        <v>0</v>
      </c>
      <c r="K21">
        <v>0</v>
      </c>
      <c r="L21">
        <v>0</v>
      </c>
      <c r="M21">
        <v>0</v>
      </c>
      <c r="N21">
        <v>0</v>
      </c>
      <c r="O21">
        <v>0</v>
      </c>
      <c r="P21">
        <v>20</v>
      </c>
      <c r="Q21">
        <v>0</v>
      </c>
      <c r="R21">
        <v>0</v>
      </c>
      <c r="S21">
        <v>0</v>
      </c>
    </row>
    <row r="22" spans="1:19" x14ac:dyDescent="0.25">
      <c r="A22" t="s">
        <v>20</v>
      </c>
      <c r="B22">
        <v>0</v>
      </c>
      <c r="C22">
        <v>0</v>
      </c>
      <c r="D22">
        <v>0</v>
      </c>
      <c r="E22">
        <v>0</v>
      </c>
      <c r="F22">
        <v>0</v>
      </c>
      <c r="G22">
        <v>0</v>
      </c>
      <c r="H22">
        <v>0</v>
      </c>
      <c r="I22">
        <v>0</v>
      </c>
      <c r="J22">
        <v>0</v>
      </c>
      <c r="K22">
        <v>0</v>
      </c>
      <c r="L22">
        <v>0</v>
      </c>
      <c r="M22">
        <v>0</v>
      </c>
      <c r="N22">
        <v>0</v>
      </c>
      <c r="O22">
        <v>0</v>
      </c>
      <c r="P22">
        <v>0</v>
      </c>
      <c r="Q22">
        <v>21</v>
      </c>
      <c r="R22">
        <v>0</v>
      </c>
      <c r="S22">
        <v>0</v>
      </c>
    </row>
    <row r="23" spans="1:19" x14ac:dyDescent="0.25">
      <c r="A23" t="s">
        <v>21</v>
      </c>
      <c r="B23">
        <v>0</v>
      </c>
      <c r="C23">
        <v>0</v>
      </c>
      <c r="D23">
        <v>0</v>
      </c>
      <c r="E23">
        <v>0</v>
      </c>
      <c r="F23">
        <v>0</v>
      </c>
      <c r="G23">
        <v>0</v>
      </c>
      <c r="H23">
        <v>0</v>
      </c>
      <c r="I23">
        <v>0</v>
      </c>
      <c r="J23">
        <v>0</v>
      </c>
      <c r="K23">
        <v>0</v>
      </c>
      <c r="L23">
        <v>0</v>
      </c>
      <c r="M23">
        <v>0</v>
      </c>
      <c r="N23">
        <v>0</v>
      </c>
      <c r="O23">
        <v>0</v>
      </c>
      <c r="P23">
        <v>0</v>
      </c>
      <c r="Q23">
        <v>0</v>
      </c>
      <c r="R23">
        <v>22</v>
      </c>
      <c r="S23">
        <v>0</v>
      </c>
    </row>
    <row r="24" spans="1:19" x14ac:dyDescent="0.25">
      <c r="A24" t="s">
        <v>197</v>
      </c>
      <c r="B24">
        <v>0</v>
      </c>
      <c r="C24">
        <v>0</v>
      </c>
      <c r="D24">
        <v>0</v>
      </c>
      <c r="E24">
        <v>0</v>
      </c>
      <c r="F24">
        <v>0</v>
      </c>
      <c r="G24">
        <v>0</v>
      </c>
      <c r="H24">
        <v>0</v>
      </c>
      <c r="I24">
        <v>0</v>
      </c>
      <c r="J24">
        <v>0</v>
      </c>
      <c r="K24">
        <v>0</v>
      </c>
      <c r="L24">
        <v>0</v>
      </c>
      <c r="M24">
        <v>0</v>
      </c>
      <c r="N24">
        <v>0</v>
      </c>
      <c r="O24">
        <v>0</v>
      </c>
      <c r="P24">
        <v>0</v>
      </c>
      <c r="Q24">
        <v>0</v>
      </c>
      <c r="R24">
        <v>0</v>
      </c>
      <c r="S24">
        <v>23</v>
      </c>
    </row>
    <row r="25" spans="1:19" x14ac:dyDescent="0.25">
      <c r="A25" t="s">
        <v>198</v>
      </c>
      <c r="B25">
        <v>0</v>
      </c>
      <c r="C25">
        <v>0</v>
      </c>
      <c r="D25">
        <v>0</v>
      </c>
      <c r="E25">
        <v>0</v>
      </c>
      <c r="F25">
        <v>0</v>
      </c>
      <c r="G25">
        <v>0</v>
      </c>
      <c r="H25">
        <v>0</v>
      </c>
      <c r="I25">
        <v>0</v>
      </c>
      <c r="J25">
        <v>0</v>
      </c>
      <c r="K25">
        <v>0</v>
      </c>
      <c r="L25">
        <v>0</v>
      </c>
      <c r="M25">
        <v>0</v>
      </c>
      <c r="N25">
        <v>0</v>
      </c>
      <c r="O25">
        <v>0</v>
      </c>
      <c r="P25">
        <v>0</v>
      </c>
      <c r="Q25">
        <v>0</v>
      </c>
      <c r="R25">
        <v>0</v>
      </c>
      <c r="S25">
        <v>24</v>
      </c>
    </row>
    <row r="26" spans="1:19" x14ac:dyDescent="0.25">
      <c r="A26" t="s">
        <v>199</v>
      </c>
      <c r="B26">
        <v>0</v>
      </c>
      <c r="C26">
        <v>0</v>
      </c>
      <c r="D26">
        <v>0</v>
      </c>
      <c r="E26">
        <v>0</v>
      </c>
      <c r="F26">
        <v>0</v>
      </c>
      <c r="G26">
        <v>0</v>
      </c>
      <c r="H26">
        <v>0</v>
      </c>
      <c r="I26">
        <v>0</v>
      </c>
      <c r="J26">
        <v>0</v>
      </c>
      <c r="K26">
        <v>0</v>
      </c>
      <c r="L26">
        <v>0</v>
      </c>
      <c r="M26">
        <v>0</v>
      </c>
      <c r="N26">
        <v>0</v>
      </c>
      <c r="O26">
        <v>0</v>
      </c>
      <c r="P26">
        <v>0</v>
      </c>
      <c r="Q26">
        <v>0</v>
      </c>
      <c r="R26">
        <v>0</v>
      </c>
      <c r="S26">
        <v>25</v>
      </c>
    </row>
  </sheetData>
  <sheetProtection sheet="1" objects="1" scenarios="1" selectLockedCells="1" selectUnlockedCells="1"/>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0"/>
  <sheetViews>
    <sheetView workbookViewId="0">
      <selection activeCell="E20" sqref="E20"/>
    </sheetView>
  </sheetViews>
  <sheetFormatPr defaultRowHeight="15" x14ac:dyDescent="0.25"/>
  <sheetData>
    <row r="1" spans="1:6" x14ac:dyDescent="0.25">
      <c r="A1" t="s">
        <v>24</v>
      </c>
      <c r="B1" t="s">
        <v>28</v>
      </c>
      <c r="C1" t="s">
        <v>25</v>
      </c>
      <c r="D1" t="s">
        <v>26</v>
      </c>
      <c r="E1" t="s">
        <v>27</v>
      </c>
      <c r="F1" t="s">
        <v>87</v>
      </c>
    </row>
    <row r="2" spans="1:6" x14ac:dyDescent="0.25">
      <c r="A2" t="s">
        <v>23</v>
      </c>
      <c r="B2" t="s">
        <v>29</v>
      </c>
      <c r="C2" t="s">
        <v>0</v>
      </c>
      <c r="D2" t="s">
        <v>165</v>
      </c>
      <c r="E2" t="s">
        <v>165</v>
      </c>
      <c r="F2" t="str">
        <f>B2&amp; ":"&amp;C2</f>
        <v>P1:T1</v>
      </c>
    </row>
    <row r="3" spans="1:6" x14ac:dyDescent="0.25">
      <c r="A3" t="s">
        <v>23</v>
      </c>
      <c r="B3" t="s">
        <v>30</v>
      </c>
      <c r="C3" t="s">
        <v>37</v>
      </c>
      <c r="D3" t="s">
        <v>165</v>
      </c>
      <c r="E3" t="s">
        <v>186</v>
      </c>
      <c r="F3" t="str">
        <f t="shared" ref="F3:F10" si="0">B3&amp; ":"&amp;C3</f>
        <v>P3:1-T1</v>
      </c>
    </row>
    <row r="4" spans="1:6" x14ac:dyDescent="0.25">
      <c r="A4" t="s">
        <v>23</v>
      </c>
      <c r="B4" t="s">
        <v>31</v>
      </c>
      <c r="C4" t="s">
        <v>12</v>
      </c>
      <c r="D4" t="s">
        <v>186</v>
      </c>
      <c r="E4" t="s">
        <v>186</v>
      </c>
      <c r="F4" t="str">
        <f t="shared" si="0"/>
        <v>P4:T13</v>
      </c>
    </row>
    <row r="5" spans="1:6" x14ac:dyDescent="0.25">
      <c r="A5" t="s">
        <v>23</v>
      </c>
      <c r="B5" t="s">
        <v>32</v>
      </c>
      <c r="C5" t="s">
        <v>38</v>
      </c>
      <c r="D5" t="s">
        <v>186</v>
      </c>
      <c r="E5" t="s">
        <v>187</v>
      </c>
      <c r="F5" t="str">
        <f t="shared" si="0"/>
        <v>P5:1-T13</v>
      </c>
    </row>
    <row r="6" spans="1:6" x14ac:dyDescent="0.25">
      <c r="A6" t="s">
        <v>23</v>
      </c>
      <c r="B6" t="s">
        <v>33</v>
      </c>
      <c r="C6" t="s">
        <v>39</v>
      </c>
      <c r="D6" t="s">
        <v>187</v>
      </c>
      <c r="E6" t="s">
        <v>187</v>
      </c>
      <c r="F6" t="str">
        <f t="shared" si="0"/>
        <v>P30:1-T21</v>
      </c>
    </row>
    <row r="7" spans="1:6" x14ac:dyDescent="0.25">
      <c r="A7" t="s">
        <v>23</v>
      </c>
      <c r="B7" t="s">
        <v>34</v>
      </c>
      <c r="C7" t="s">
        <v>20</v>
      </c>
      <c r="D7" t="s">
        <v>187</v>
      </c>
      <c r="E7" t="s">
        <v>188</v>
      </c>
      <c r="F7" t="str">
        <f t="shared" si="0"/>
        <v>P31:T21</v>
      </c>
    </row>
    <row r="8" spans="1:6" x14ac:dyDescent="0.25">
      <c r="A8" t="s">
        <v>23</v>
      </c>
      <c r="B8" t="s">
        <v>35</v>
      </c>
      <c r="C8" t="s">
        <v>21</v>
      </c>
      <c r="D8" t="s">
        <v>188</v>
      </c>
      <c r="E8" t="s">
        <v>188</v>
      </c>
      <c r="F8" t="str">
        <f t="shared" si="0"/>
        <v>P32:T22</v>
      </c>
    </row>
    <row r="9" spans="1:6" x14ac:dyDescent="0.25">
      <c r="A9" t="s">
        <v>23</v>
      </c>
      <c r="B9" t="s">
        <v>36</v>
      </c>
      <c r="C9" t="s">
        <v>42</v>
      </c>
      <c r="D9" t="s">
        <v>188</v>
      </c>
      <c r="E9" t="s">
        <v>189</v>
      </c>
      <c r="F9" t="str">
        <f t="shared" si="0"/>
        <v>P33:1-T22</v>
      </c>
    </row>
    <row r="10" spans="1:6" x14ac:dyDescent="0.25">
      <c r="A10" t="s">
        <v>23</v>
      </c>
      <c r="B10" t="s">
        <v>80</v>
      </c>
      <c r="C10">
        <v>1</v>
      </c>
      <c r="D10" t="s">
        <v>189</v>
      </c>
      <c r="E10" t="s">
        <v>189</v>
      </c>
      <c r="F10" t="str">
        <f t="shared" si="0"/>
        <v>P34:1</v>
      </c>
    </row>
  </sheetData>
  <sheetProtection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46"/>
  <sheetViews>
    <sheetView workbookViewId="0">
      <selection activeCell="B21" sqref="A1:H46"/>
    </sheetView>
  </sheetViews>
  <sheetFormatPr defaultRowHeight="15" x14ac:dyDescent="0.25"/>
  <cols>
    <col min="3" max="3" width="17.7109375" customWidth="1"/>
    <col min="4" max="4" width="13.28515625" customWidth="1"/>
    <col min="5" max="5" width="17.85546875" customWidth="1"/>
    <col min="6" max="6" width="28.85546875" customWidth="1"/>
    <col min="7" max="7" width="28.85546875" style="2" customWidth="1"/>
    <col min="8" max="8" width="9.140625" style="2"/>
  </cols>
  <sheetData>
    <row r="1" spans="1:10" x14ac:dyDescent="0.25">
      <c r="A1" t="s">
        <v>24</v>
      </c>
      <c r="B1" t="s">
        <v>28</v>
      </c>
      <c r="C1" t="s">
        <v>25</v>
      </c>
      <c r="D1" t="s">
        <v>26</v>
      </c>
      <c r="E1" t="s">
        <v>27</v>
      </c>
      <c r="F1" t="s">
        <v>87</v>
      </c>
      <c r="G1" s="2" t="s">
        <v>126</v>
      </c>
      <c r="H1" s="2" t="s">
        <v>127</v>
      </c>
      <c r="I1" s="2"/>
      <c r="J1" s="2"/>
    </row>
    <row r="2" spans="1:10" x14ac:dyDescent="0.25">
      <c r="A2" t="s">
        <v>40</v>
      </c>
      <c r="B2" s="2" t="s">
        <v>29</v>
      </c>
      <c r="C2" s="2" t="s">
        <v>41</v>
      </c>
      <c r="D2" s="2" t="s">
        <v>166</v>
      </c>
      <c r="E2" t="s">
        <v>166</v>
      </c>
      <c r="F2" t="str">
        <f t="shared" ref="F2:F42" si="0">B2&amp; ":"&amp;C2</f>
        <v>P1:T1 * T2</v>
      </c>
      <c r="G2" s="2">
        <v>0.5</v>
      </c>
      <c r="H2" s="2">
        <v>1</v>
      </c>
    </row>
    <row r="3" spans="1:10" x14ac:dyDescent="0.25">
      <c r="A3" t="s">
        <v>40</v>
      </c>
      <c r="B3" s="2" t="s">
        <v>46</v>
      </c>
      <c r="C3" s="2" t="s">
        <v>88</v>
      </c>
      <c r="D3" s="2" t="s">
        <v>166</v>
      </c>
      <c r="E3" t="s">
        <v>211</v>
      </c>
      <c r="F3" t="str">
        <f t="shared" si="0"/>
        <v>P2:(T1*(1 - T2)) + ((1-T1)*(1-T3))</v>
      </c>
      <c r="G3" s="2">
        <v>0.5</v>
      </c>
      <c r="H3" s="2">
        <v>1</v>
      </c>
    </row>
    <row r="4" spans="1:10" x14ac:dyDescent="0.25">
      <c r="A4" s="2" t="s">
        <v>40</v>
      </c>
      <c r="B4" s="2" t="s">
        <v>30</v>
      </c>
      <c r="C4" s="2" t="s">
        <v>43</v>
      </c>
      <c r="D4" s="2" t="s">
        <v>166</v>
      </c>
      <c r="E4" t="s">
        <v>167</v>
      </c>
      <c r="F4" t="str">
        <f t="shared" si="0"/>
        <v>P3:(1-T1)* T3</v>
      </c>
      <c r="G4" s="2">
        <v>0.5</v>
      </c>
      <c r="H4" s="2">
        <v>1</v>
      </c>
    </row>
    <row r="5" spans="1:10" x14ac:dyDescent="0.25">
      <c r="A5" s="2" t="s">
        <v>40</v>
      </c>
      <c r="B5" s="2" t="s">
        <v>31</v>
      </c>
      <c r="C5" s="2" t="s">
        <v>44</v>
      </c>
      <c r="D5" s="2" t="s">
        <v>167</v>
      </c>
      <c r="E5" t="s">
        <v>167</v>
      </c>
      <c r="F5" t="str">
        <f t="shared" si="0"/>
        <v>P4:T13 * T14</v>
      </c>
      <c r="G5" s="2">
        <v>0.5</v>
      </c>
      <c r="H5" s="2">
        <v>2</v>
      </c>
    </row>
    <row r="6" spans="1:10" x14ac:dyDescent="0.25">
      <c r="A6" s="2" t="s">
        <v>40</v>
      </c>
      <c r="B6" s="2" t="s">
        <v>32</v>
      </c>
      <c r="C6" s="2" t="s">
        <v>45</v>
      </c>
      <c r="D6" s="2" t="s">
        <v>167</v>
      </c>
      <c r="E6" t="s">
        <v>168</v>
      </c>
      <c r="F6" t="str">
        <f t="shared" si="0"/>
        <v>P5:(1-T13) * T16</v>
      </c>
      <c r="G6" s="2">
        <v>0.5</v>
      </c>
      <c r="H6" s="2">
        <v>2</v>
      </c>
    </row>
    <row r="7" spans="1:10" x14ac:dyDescent="0.25">
      <c r="A7" s="2" t="s">
        <v>40</v>
      </c>
      <c r="B7" s="2" t="s">
        <v>47</v>
      </c>
      <c r="C7" s="2" t="s">
        <v>90</v>
      </c>
      <c r="D7" s="2" t="s">
        <v>167</v>
      </c>
      <c r="E7" t="s">
        <v>172</v>
      </c>
      <c r="F7" t="str">
        <f t="shared" si="0"/>
        <v>P6:((T13 * T15)+(1-T13)*(1-T16))</v>
      </c>
      <c r="G7" s="2">
        <v>0.5</v>
      </c>
      <c r="H7" s="2">
        <v>2</v>
      </c>
    </row>
    <row r="8" spans="1:10" x14ac:dyDescent="0.25">
      <c r="A8" s="2" t="s">
        <v>40</v>
      </c>
      <c r="B8" s="2" t="s">
        <v>48</v>
      </c>
      <c r="C8" s="2" t="s">
        <v>53</v>
      </c>
      <c r="D8" s="2" t="s">
        <v>167</v>
      </c>
      <c r="E8" t="s">
        <v>169</v>
      </c>
      <c r="F8" t="str">
        <f t="shared" si="0"/>
        <v>P7:T13 * (1-(T14+T15))</v>
      </c>
      <c r="G8" s="2">
        <v>0.5</v>
      </c>
      <c r="H8" s="2">
        <v>2</v>
      </c>
    </row>
    <row r="9" spans="1:10" x14ac:dyDescent="0.25">
      <c r="A9" s="2" t="s">
        <v>40</v>
      </c>
      <c r="B9" s="2" t="s">
        <v>49</v>
      </c>
      <c r="C9" s="2" t="s">
        <v>5</v>
      </c>
      <c r="D9" s="2" t="s">
        <v>210</v>
      </c>
      <c r="E9" t="s">
        <v>210</v>
      </c>
      <c r="F9" t="str">
        <f t="shared" si="0"/>
        <v>P8:T6</v>
      </c>
      <c r="G9" s="2">
        <v>2.25</v>
      </c>
      <c r="H9" s="2">
        <v>0</v>
      </c>
    </row>
    <row r="10" spans="1:10" x14ac:dyDescent="0.25">
      <c r="A10" s="2" t="s">
        <v>40</v>
      </c>
      <c r="B10" s="2" t="s">
        <v>50</v>
      </c>
      <c r="C10" s="2" t="s">
        <v>3</v>
      </c>
      <c r="D10" s="2" t="s">
        <v>210</v>
      </c>
      <c r="E10" t="s">
        <v>173</v>
      </c>
      <c r="F10" t="str">
        <f t="shared" si="0"/>
        <v>P9:T4</v>
      </c>
      <c r="G10" s="2">
        <v>2.25</v>
      </c>
      <c r="H10" s="2">
        <v>0</v>
      </c>
    </row>
    <row r="11" spans="1:10" x14ac:dyDescent="0.25">
      <c r="A11" s="2" t="s">
        <v>40</v>
      </c>
      <c r="B11" s="2" t="s">
        <v>51</v>
      </c>
      <c r="C11" s="2" t="s">
        <v>54</v>
      </c>
      <c r="D11" s="2" t="s">
        <v>210</v>
      </c>
      <c r="E11" t="s">
        <v>170</v>
      </c>
      <c r="F11" t="str">
        <f t="shared" si="0"/>
        <v>P10:1-(T4+T5+T6)</v>
      </c>
      <c r="G11" s="2">
        <v>2.25</v>
      </c>
      <c r="H11" s="2">
        <v>0</v>
      </c>
    </row>
    <row r="12" spans="1:10" s="2" customFormat="1" x14ac:dyDescent="0.25">
      <c r="A12" s="2" t="s">
        <v>40</v>
      </c>
      <c r="B12" s="2" t="s">
        <v>52</v>
      </c>
      <c r="C12" s="2" t="s">
        <v>4</v>
      </c>
      <c r="D12" s="2" t="s">
        <v>210</v>
      </c>
      <c r="E12" t="s">
        <v>171</v>
      </c>
      <c r="F12" t="str">
        <f t="shared" si="0"/>
        <v>P11:T5</v>
      </c>
      <c r="G12" s="2">
        <v>2.25</v>
      </c>
      <c r="H12" s="2">
        <v>0</v>
      </c>
      <c r="I12"/>
      <c r="J12"/>
    </row>
    <row r="13" spans="1:10" s="2" customFormat="1" x14ac:dyDescent="0.25">
      <c r="A13" s="2" t="s">
        <v>40</v>
      </c>
      <c r="B13" s="2" t="s">
        <v>55</v>
      </c>
      <c r="C13" s="2" t="s">
        <v>6</v>
      </c>
      <c r="D13" s="2" t="s">
        <v>173</v>
      </c>
      <c r="E13" t="s">
        <v>173</v>
      </c>
      <c r="F13" t="str">
        <f t="shared" si="0"/>
        <v>P12:T7</v>
      </c>
      <c r="G13" s="2">
        <v>3.75</v>
      </c>
      <c r="H13" s="2">
        <v>1</v>
      </c>
      <c r="I13"/>
      <c r="J13"/>
    </row>
    <row r="14" spans="1:10" s="2" customFormat="1" x14ac:dyDescent="0.25">
      <c r="A14" s="2" t="s">
        <v>40</v>
      </c>
      <c r="B14" s="2" t="s">
        <v>56</v>
      </c>
      <c r="C14" s="2" t="s">
        <v>67</v>
      </c>
      <c r="D14" s="2" t="s">
        <v>173</v>
      </c>
      <c r="E14" t="s">
        <v>174</v>
      </c>
      <c r="F14" t="str">
        <f t="shared" si="0"/>
        <v>P13:1-(T7+T8)</v>
      </c>
      <c r="G14" s="2">
        <v>3.75</v>
      </c>
      <c r="H14" s="2">
        <v>1</v>
      </c>
      <c r="I14"/>
      <c r="J14"/>
    </row>
    <row r="15" spans="1:10" s="2" customFormat="1" x14ac:dyDescent="0.25">
      <c r="A15" s="2" t="s">
        <v>40</v>
      </c>
      <c r="B15" s="2" t="s">
        <v>57</v>
      </c>
      <c r="C15" s="2" t="s">
        <v>7</v>
      </c>
      <c r="D15" s="2" t="s">
        <v>173</v>
      </c>
      <c r="E15" t="s">
        <v>175</v>
      </c>
      <c r="F15" t="str">
        <f t="shared" si="0"/>
        <v>P14:T8</v>
      </c>
      <c r="G15" s="2">
        <v>3.75</v>
      </c>
      <c r="H15" s="2">
        <v>1</v>
      </c>
      <c r="I15"/>
      <c r="J15"/>
    </row>
    <row r="16" spans="1:10" s="2" customFormat="1" x14ac:dyDescent="0.25">
      <c r="A16" s="2" t="s">
        <v>40</v>
      </c>
      <c r="B16" s="2" t="s">
        <v>58</v>
      </c>
      <c r="C16" s="2" t="s">
        <v>17</v>
      </c>
      <c r="D16" s="2" t="s">
        <v>172</v>
      </c>
      <c r="E16" t="s">
        <v>172</v>
      </c>
      <c r="F16" t="str">
        <f t="shared" si="0"/>
        <v>P15:T18</v>
      </c>
      <c r="G16" s="2">
        <v>2.75</v>
      </c>
      <c r="H16" s="2">
        <v>4.0999999999999996</v>
      </c>
      <c r="I16"/>
      <c r="J16"/>
    </row>
    <row r="17" spans="1:10" s="2" customFormat="1" x14ac:dyDescent="0.25">
      <c r="A17" s="2" t="s">
        <v>40</v>
      </c>
      <c r="B17" s="2" t="s">
        <v>59</v>
      </c>
      <c r="C17" s="2" t="s">
        <v>16</v>
      </c>
      <c r="D17" s="2" t="s">
        <v>172</v>
      </c>
      <c r="E17" t="s">
        <v>177</v>
      </c>
      <c r="F17" t="str">
        <f t="shared" si="0"/>
        <v>P16:T17</v>
      </c>
      <c r="G17" s="2">
        <v>2.75</v>
      </c>
      <c r="H17" s="2">
        <v>4.0999999999999996</v>
      </c>
      <c r="I17"/>
      <c r="J17"/>
    </row>
    <row r="18" spans="1:10" s="2" customFormat="1" x14ac:dyDescent="0.25">
      <c r="A18" s="2" t="s">
        <v>40</v>
      </c>
      <c r="B18" s="2" t="s">
        <v>60</v>
      </c>
      <c r="C18" s="2" t="s">
        <v>68</v>
      </c>
      <c r="D18" s="2" t="s">
        <v>172</v>
      </c>
      <c r="E18" t="s">
        <v>176</v>
      </c>
      <c r="F18" t="str">
        <f t="shared" si="0"/>
        <v>P17:1-(T17+T18)</v>
      </c>
      <c r="G18" s="2">
        <v>2.75</v>
      </c>
      <c r="H18" s="2">
        <v>4.0999999999999996</v>
      </c>
      <c r="I18"/>
      <c r="J18"/>
    </row>
    <row r="19" spans="1:10" s="2" customFormat="1" x14ac:dyDescent="0.25">
      <c r="A19" s="2" t="s">
        <v>40</v>
      </c>
      <c r="B19" s="2" t="s">
        <v>61</v>
      </c>
      <c r="C19" s="2" t="s">
        <v>9</v>
      </c>
      <c r="D19" s="2" t="s">
        <v>175</v>
      </c>
      <c r="E19" t="s">
        <v>175</v>
      </c>
      <c r="F19" t="str">
        <f t="shared" si="0"/>
        <v>P18:T10</v>
      </c>
      <c r="G19" s="2">
        <v>4.75</v>
      </c>
      <c r="H19" s="2">
        <v>2</v>
      </c>
      <c r="I19"/>
      <c r="J19"/>
    </row>
    <row r="20" spans="1:10" s="2" customFormat="1" x14ac:dyDescent="0.25">
      <c r="A20" s="2" t="s">
        <v>40</v>
      </c>
      <c r="B20" s="2" t="s">
        <v>62</v>
      </c>
      <c r="C20" s="2" t="s">
        <v>69</v>
      </c>
      <c r="D20" s="2" t="s">
        <v>175</v>
      </c>
      <c r="E20" t="s">
        <v>178</v>
      </c>
      <c r="F20" t="str">
        <f t="shared" si="0"/>
        <v>P19:1-T10</v>
      </c>
      <c r="G20" s="2">
        <v>4.75</v>
      </c>
      <c r="H20" s="2">
        <v>2</v>
      </c>
      <c r="I20"/>
      <c r="J20"/>
    </row>
    <row r="21" spans="1:10" x14ac:dyDescent="0.25">
      <c r="A21" s="2" t="s">
        <v>40</v>
      </c>
      <c r="B21" s="2" t="s">
        <v>63</v>
      </c>
      <c r="C21" s="2" t="s">
        <v>8</v>
      </c>
      <c r="D21" s="2" t="s">
        <v>171</v>
      </c>
      <c r="E21" t="s">
        <v>171</v>
      </c>
      <c r="F21" t="str">
        <f t="shared" si="0"/>
        <v>P20:T9</v>
      </c>
      <c r="G21" s="2">
        <v>5.75</v>
      </c>
      <c r="H21" s="2">
        <v>1</v>
      </c>
    </row>
    <row r="22" spans="1:10" x14ac:dyDescent="0.25">
      <c r="A22" s="2" t="s">
        <v>40</v>
      </c>
      <c r="B22" s="2" t="s">
        <v>64</v>
      </c>
      <c r="C22" s="2" t="s">
        <v>70</v>
      </c>
      <c r="D22" s="2" t="s">
        <v>171</v>
      </c>
      <c r="E22" t="s">
        <v>179</v>
      </c>
      <c r="F22" t="str">
        <f t="shared" si="0"/>
        <v>P21:1-T9</v>
      </c>
      <c r="G22" s="2">
        <v>5.75</v>
      </c>
      <c r="H22" s="2">
        <v>1</v>
      </c>
    </row>
    <row r="23" spans="1:10" x14ac:dyDescent="0.25">
      <c r="A23" s="2" t="s">
        <v>40</v>
      </c>
      <c r="B23" s="2" t="s">
        <v>65</v>
      </c>
      <c r="C23" s="2" t="s">
        <v>19</v>
      </c>
      <c r="D23" s="2" t="s">
        <v>177</v>
      </c>
      <c r="E23" t="s">
        <v>177</v>
      </c>
      <c r="F23" t="str">
        <f t="shared" si="0"/>
        <v>P22:T20</v>
      </c>
      <c r="G23" s="2">
        <v>4</v>
      </c>
      <c r="H23" s="2">
        <v>4.0999999999999996</v>
      </c>
    </row>
    <row r="24" spans="1:10" x14ac:dyDescent="0.25">
      <c r="A24" s="2" t="s">
        <v>40</v>
      </c>
      <c r="B24" s="2" t="s">
        <v>66</v>
      </c>
      <c r="C24" s="2" t="s">
        <v>71</v>
      </c>
      <c r="D24" s="2" t="s">
        <v>177</v>
      </c>
      <c r="E24" t="s">
        <v>180</v>
      </c>
      <c r="F24" t="str">
        <f t="shared" si="0"/>
        <v>P23:1-T20</v>
      </c>
      <c r="G24" s="2">
        <v>4</v>
      </c>
      <c r="H24" s="2">
        <v>4.0999999999999996</v>
      </c>
    </row>
    <row r="25" spans="1:10" x14ac:dyDescent="0.25">
      <c r="A25" s="2" t="s">
        <v>40</v>
      </c>
      <c r="B25" s="2" t="s">
        <v>72</v>
      </c>
      <c r="C25" s="2" t="s">
        <v>18</v>
      </c>
      <c r="D25" s="2" t="s">
        <v>169</v>
      </c>
      <c r="E25" t="s">
        <v>169</v>
      </c>
      <c r="F25" t="str">
        <f t="shared" si="0"/>
        <v>P24:T19</v>
      </c>
      <c r="G25" s="2">
        <v>1.5</v>
      </c>
      <c r="H25" s="2">
        <v>3</v>
      </c>
    </row>
    <row r="26" spans="1:10" x14ac:dyDescent="0.25">
      <c r="A26" s="2" t="s">
        <v>40</v>
      </c>
      <c r="B26" s="2" t="s">
        <v>73</v>
      </c>
      <c r="C26" s="2" t="s">
        <v>89</v>
      </c>
      <c r="D26" s="2" t="s">
        <v>169</v>
      </c>
      <c r="E26" t="s">
        <v>181</v>
      </c>
      <c r="F26" t="str">
        <f t="shared" si="0"/>
        <v>P25:1-T19</v>
      </c>
      <c r="G26" s="2">
        <v>1.5</v>
      </c>
      <c r="H26" s="2">
        <v>3</v>
      </c>
    </row>
    <row r="27" spans="1:10" x14ac:dyDescent="0.25">
      <c r="A27" s="2" t="s">
        <v>40</v>
      </c>
      <c r="B27" s="2" t="s">
        <v>74</v>
      </c>
      <c r="C27" s="2" t="s">
        <v>78</v>
      </c>
      <c r="D27" s="2" t="s">
        <v>170</v>
      </c>
      <c r="E27" t="s">
        <v>170</v>
      </c>
      <c r="F27" t="str">
        <f t="shared" si="0"/>
        <v>P26:1-T11</v>
      </c>
      <c r="G27" s="2">
        <v>6.75</v>
      </c>
      <c r="H27" s="2">
        <v>1</v>
      </c>
    </row>
    <row r="28" spans="1:10" x14ac:dyDescent="0.25">
      <c r="A28" s="2" t="s">
        <v>40</v>
      </c>
      <c r="B28" s="2" t="s">
        <v>75</v>
      </c>
      <c r="C28" s="2" t="s">
        <v>10</v>
      </c>
      <c r="D28" s="2" t="s">
        <v>170</v>
      </c>
      <c r="E28" t="s">
        <v>182</v>
      </c>
      <c r="F28" t="str">
        <f t="shared" si="0"/>
        <v>P27:T11</v>
      </c>
      <c r="G28" s="2">
        <v>6.75</v>
      </c>
      <c r="H28" s="2">
        <v>1</v>
      </c>
    </row>
    <row r="29" spans="1:10" x14ac:dyDescent="0.25">
      <c r="A29" s="2" t="s">
        <v>40</v>
      </c>
      <c r="B29" s="2" t="s">
        <v>76</v>
      </c>
      <c r="C29" s="2" t="s">
        <v>11</v>
      </c>
      <c r="D29" s="2" t="s">
        <v>182</v>
      </c>
      <c r="E29" t="s">
        <v>182</v>
      </c>
      <c r="F29" t="str">
        <f t="shared" si="0"/>
        <v>P28:T12</v>
      </c>
      <c r="G29" s="2">
        <v>6.75</v>
      </c>
      <c r="H29" s="2">
        <v>2</v>
      </c>
    </row>
    <row r="30" spans="1:10" x14ac:dyDescent="0.25">
      <c r="A30" s="2" t="s">
        <v>40</v>
      </c>
      <c r="B30" s="2" t="s">
        <v>77</v>
      </c>
      <c r="C30" s="2" t="s">
        <v>79</v>
      </c>
      <c r="D30" s="2" t="s">
        <v>182</v>
      </c>
      <c r="E30" t="s">
        <v>183</v>
      </c>
      <c r="F30" t="str">
        <f t="shared" si="0"/>
        <v>P29:1-T12</v>
      </c>
      <c r="G30" s="2">
        <v>6.75</v>
      </c>
      <c r="H30" s="2">
        <v>2</v>
      </c>
    </row>
    <row r="31" spans="1:10" x14ac:dyDescent="0.25">
      <c r="A31" s="2" t="s">
        <v>40</v>
      </c>
      <c r="B31" s="2" t="s">
        <v>33</v>
      </c>
      <c r="C31" s="2" t="s">
        <v>39</v>
      </c>
      <c r="D31" s="2" t="s">
        <v>168</v>
      </c>
      <c r="E31" t="s">
        <v>168</v>
      </c>
      <c r="F31" t="str">
        <f t="shared" si="0"/>
        <v>P30:1-T21</v>
      </c>
      <c r="G31" s="2">
        <v>0.5</v>
      </c>
      <c r="H31" s="2">
        <v>3</v>
      </c>
    </row>
    <row r="32" spans="1:10" x14ac:dyDescent="0.25">
      <c r="A32" s="2" t="s">
        <v>40</v>
      </c>
      <c r="B32" s="2" t="s">
        <v>34</v>
      </c>
      <c r="C32" s="2" t="s">
        <v>20</v>
      </c>
      <c r="D32" s="2" t="s">
        <v>168</v>
      </c>
      <c r="E32" t="s">
        <v>184</v>
      </c>
      <c r="F32" t="str">
        <f t="shared" si="0"/>
        <v>P31:T21</v>
      </c>
      <c r="G32" s="2">
        <v>0.5</v>
      </c>
      <c r="H32" s="2">
        <v>3</v>
      </c>
    </row>
    <row r="33" spans="1:8" x14ac:dyDescent="0.25">
      <c r="A33" s="2" t="s">
        <v>40</v>
      </c>
      <c r="B33" s="2" t="s">
        <v>35</v>
      </c>
      <c r="C33" s="2" t="s">
        <v>21</v>
      </c>
      <c r="D33" s="2" t="s">
        <v>184</v>
      </c>
      <c r="E33" t="s">
        <v>184</v>
      </c>
      <c r="F33" t="str">
        <f t="shared" si="0"/>
        <v>P32:T22</v>
      </c>
      <c r="G33" s="2">
        <v>0.5</v>
      </c>
      <c r="H33" s="2">
        <v>4</v>
      </c>
    </row>
    <row r="34" spans="1:8" x14ac:dyDescent="0.25">
      <c r="A34" s="2" t="s">
        <v>40</v>
      </c>
      <c r="B34" s="2" t="s">
        <v>36</v>
      </c>
      <c r="C34" s="2" t="s">
        <v>42</v>
      </c>
      <c r="D34" s="2" t="s">
        <v>184</v>
      </c>
      <c r="E34" t="s">
        <v>185</v>
      </c>
      <c r="F34" t="str">
        <f t="shared" si="0"/>
        <v>P33:1-T22</v>
      </c>
      <c r="G34" s="2">
        <v>0.5</v>
      </c>
      <c r="H34" s="2">
        <v>4</v>
      </c>
    </row>
    <row r="35" spans="1:8" x14ac:dyDescent="0.25">
      <c r="A35" s="2" t="s">
        <v>40</v>
      </c>
      <c r="B35" s="2" t="s">
        <v>80</v>
      </c>
      <c r="C35" s="3">
        <v>1</v>
      </c>
      <c r="D35" s="2" t="s">
        <v>185</v>
      </c>
      <c r="E35" t="s">
        <v>185</v>
      </c>
      <c r="F35" t="str">
        <f t="shared" si="0"/>
        <v>P34:1</v>
      </c>
      <c r="G35" s="2">
        <v>0.5</v>
      </c>
      <c r="H35" s="2">
        <v>5</v>
      </c>
    </row>
    <row r="36" spans="1:8" x14ac:dyDescent="0.25">
      <c r="A36" s="2" t="s">
        <v>40</v>
      </c>
      <c r="B36" s="2" t="s">
        <v>81</v>
      </c>
      <c r="C36" s="3">
        <v>1</v>
      </c>
      <c r="D36" s="2" t="s">
        <v>174</v>
      </c>
      <c r="E36" t="s">
        <v>174</v>
      </c>
      <c r="F36" t="str">
        <f t="shared" si="0"/>
        <v>P35:1</v>
      </c>
      <c r="G36" s="2">
        <v>3.75</v>
      </c>
      <c r="H36" s="2">
        <v>2</v>
      </c>
    </row>
    <row r="37" spans="1:8" x14ac:dyDescent="0.25">
      <c r="A37" s="2" t="s">
        <v>40</v>
      </c>
      <c r="B37" s="2" t="s">
        <v>82</v>
      </c>
      <c r="C37" s="3">
        <v>1</v>
      </c>
      <c r="D37" s="2" t="s">
        <v>178</v>
      </c>
      <c r="E37" t="s">
        <v>178</v>
      </c>
      <c r="F37" t="str">
        <f t="shared" si="0"/>
        <v>P36:1</v>
      </c>
      <c r="G37" s="2">
        <v>4.75</v>
      </c>
      <c r="H37" s="2">
        <v>3</v>
      </c>
    </row>
    <row r="38" spans="1:8" x14ac:dyDescent="0.25">
      <c r="A38" s="2" t="s">
        <v>40</v>
      </c>
      <c r="B38" s="2" t="s">
        <v>83</v>
      </c>
      <c r="C38" s="3">
        <v>1</v>
      </c>
      <c r="D38" s="2" t="s">
        <v>179</v>
      </c>
      <c r="E38" t="s">
        <v>179</v>
      </c>
      <c r="F38" t="str">
        <f t="shared" si="0"/>
        <v>P37:1</v>
      </c>
      <c r="G38" s="2">
        <v>5.75</v>
      </c>
      <c r="H38" s="2">
        <v>2</v>
      </c>
    </row>
    <row r="39" spans="1:8" x14ac:dyDescent="0.25">
      <c r="A39" s="2" t="s">
        <v>40</v>
      </c>
      <c r="B39" s="2" t="s">
        <v>84</v>
      </c>
      <c r="C39" s="3">
        <v>1</v>
      </c>
      <c r="D39" s="2" t="s">
        <v>183</v>
      </c>
      <c r="E39" t="s">
        <v>183</v>
      </c>
      <c r="F39" t="str">
        <f t="shared" si="0"/>
        <v>P38:1</v>
      </c>
      <c r="G39" s="2">
        <v>6.75</v>
      </c>
      <c r="H39" s="2">
        <v>3</v>
      </c>
    </row>
    <row r="40" spans="1:8" x14ac:dyDescent="0.25">
      <c r="A40" s="2" t="s">
        <v>40</v>
      </c>
      <c r="B40" s="2" t="s">
        <v>85</v>
      </c>
      <c r="C40" s="3">
        <v>1</v>
      </c>
      <c r="D40" s="2" t="s">
        <v>180</v>
      </c>
      <c r="E40" t="s">
        <v>180</v>
      </c>
      <c r="F40" t="str">
        <f t="shared" si="0"/>
        <v>P39:1</v>
      </c>
      <c r="G40" s="2">
        <v>4</v>
      </c>
      <c r="H40" s="2">
        <v>5</v>
      </c>
    </row>
    <row r="41" spans="1:8" x14ac:dyDescent="0.25">
      <c r="A41" s="2" t="s">
        <v>40</v>
      </c>
      <c r="B41" s="2" t="s">
        <v>86</v>
      </c>
      <c r="C41" s="3">
        <v>1</v>
      </c>
      <c r="D41" s="2" t="s">
        <v>181</v>
      </c>
      <c r="E41" t="s">
        <v>181</v>
      </c>
      <c r="F41" t="str">
        <f t="shared" si="0"/>
        <v>P40:1</v>
      </c>
      <c r="G41" s="2">
        <v>1.5</v>
      </c>
      <c r="H41" s="2">
        <v>5</v>
      </c>
    </row>
    <row r="42" spans="1:8" x14ac:dyDescent="0.25">
      <c r="A42" s="2" t="s">
        <v>40</v>
      </c>
      <c r="B42" s="2" t="s">
        <v>91</v>
      </c>
      <c r="C42" s="3">
        <v>1</v>
      </c>
      <c r="D42" s="2" t="s">
        <v>176</v>
      </c>
      <c r="E42" t="s">
        <v>176</v>
      </c>
      <c r="F42" t="str">
        <f t="shared" si="0"/>
        <v>P41:1</v>
      </c>
      <c r="G42" s="2">
        <v>5</v>
      </c>
      <c r="H42" s="2">
        <v>4.0999999999999996</v>
      </c>
    </row>
    <row r="43" spans="1:8" x14ac:dyDescent="0.25">
      <c r="A43" s="2" t="s">
        <v>40</v>
      </c>
      <c r="B43" s="2" t="s">
        <v>200</v>
      </c>
      <c r="C43" s="2" t="s">
        <v>197</v>
      </c>
      <c r="D43" s="2" t="s">
        <v>211</v>
      </c>
      <c r="E43" t="s">
        <v>210</v>
      </c>
      <c r="F43" t="s">
        <v>201</v>
      </c>
      <c r="G43" s="2">
        <v>1.75</v>
      </c>
      <c r="H43" s="2">
        <v>1</v>
      </c>
    </row>
    <row r="44" spans="1:8" x14ac:dyDescent="0.25">
      <c r="A44" s="2" t="s">
        <v>40</v>
      </c>
      <c r="B44" s="2" t="s">
        <v>202</v>
      </c>
      <c r="C44" s="2" t="s">
        <v>198</v>
      </c>
      <c r="D44" s="2" t="s">
        <v>211</v>
      </c>
      <c r="E44" t="s">
        <v>173</v>
      </c>
      <c r="F44" t="s">
        <v>206</v>
      </c>
      <c r="G44" s="2">
        <v>1.75</v>
      </c>
      <c r="H44" s="2">
        <v>1</v>
      </c>
    </row>
    <row r="45" spans="1:8" x14ac:dyDescent="0.25">
      <c r="A45" s="2" t="s">
        <v>40</v>
      </c>
      <c r="B45" s="2" t="s">
        <v>203</v>
      </c>
      <c r="C45" s="2" t="s">
        <v>199</v>
      </c>
      <c r="D45" s="2" t="s">
        <v>211</v>
      </c>
      <c r="E45" t="s">
        <v>171</v>
      </c>
      <c r="F45" t="s">
        <v>207</v>
      </c>
      <c r="G45" s="2">
        <v>1.75</v>
      </c>
      <c r="H45" s="2">
        <v>1</v>
      </c>
    </row>
    <row r="46" spans="1:8" x14ac:dyDescent="0.25">
      <c r="A46" s="2" t="s">
        <v>40</v>
      </c>
      <c r="B46" s="2" t="s">
        <v>204</v>
      </c>
      <c r="C46" s="2" t="s">
        <v>208</v>
      </c>
      <c r="D46" s="2" t="s">
        <v>211</v>
      </c>
      <c r="E46" t="s">
        <v>170</v>
      </c>
      <c r="F46" t="s">
        <v>209</v>
      </c>
      <c r="G46" s="2">
        <v>1.75</v>
      </c>
      <c r="H46" s="2">
        <v>1</v>
      </c>
    </row>
  </sheetData>
  <sheetProtection sheet="1" objects="1" scenarios="1" selectLockedCells="1" selectUnlockedCells="1"/>
  <autoFilter ref="A1:H46"/>
  <sortState ref="A2:H41">
    <sortCondition ref="B2:B4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F19" sqref="F19"/>
    </sheetView>
  </sheetViews>
  <sheetFormatPr defaultRowHeight="15" x14ac:dyDescent="0.25"/>
  <cols>
    <col min="1" max="1" width="29.85546875" bestFit="1" customWidth="1"/>
    <col min="2" max="2" width="21.5703125" customWidth="1"/>
  </cols>
  <sheetData>
    <row r="1" spans="1:2" x14ac:dyDescent="0.25">
      <c r="A1" s="1" t="s">
        <v>156</v>
      </c>
      <c r="B1" s="1" t="s">
        <v>108</v>
      </c>
    </row>
    <row r="2" spans="1:2" x14ac:dyDescent="0.25">
      <c r="A2" t="s">
        <v>113</v>
      </c>
      <c r="B2" t="s">
        <v>205</v>
      </c>
    </row>
    <row r="3" spans="1:2" x14ac:dyDescent="0.25">
      <c r="A3" t="s">
        <v>157</v>
      </c>
    </row>
    <row r="4" spans="1:2" x14ac:dyDescent="0.25">
      <c r="A4" t="s">
        <v>158</v>
      </c>
    </row>
    <row r="5" spans="1:2" x14ac:dyDescent="0.25">
      <c r="A5" t="s">
        <v>162</v>
      </c>
    </row>
    <row r="6" spans="1:2" x14ac:dyDescent="0.25">
      <c r="A6" t="s">
        <v>163</v>
      </c>
    </row>
    <row r="7" spans="1:2" x14ac:dyDescent="0.25">
      <c r="A7" t="s">
        <v>164</v>
      </c>
    </row>
  </sheetData>
  <sheetProtection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Quick Start Guide</vt:lpstr>
      <vt:lpstr>Tab Summary</vt:lpstr>
      <vt:lpstr>INIT</vt:lpstr>
      <vt:lpstr>TM</vt:lpstr>
      <vt:lpstr>TMsd</vt:lpstr>
      <vt:lpstr>Corr</vt:lpstr>
      <vt:lpstr>Base</vt:lpstr>
      <vt:lpstr>CFact</vt:lpstr>
      <vt:lpstr>Hidden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Bock</dc:creator>
  <cp:lastModifiedBy>lbrown</cp:lastModifiedBy>
  <cp:lastPrinted>2015-02-11T18:03:44Z</cp:lastPrinted>
  <dcterms:created xsi:type="dcterms:W3CDTF">2014-05-14T13:35:59Z</dcterms:created>
  <dcterms:modified xsi:type="dcterms:W3CDTF">2017-08-15T16:03:43Z</dcterms:modified>
</cp:coreProperties>
</file>